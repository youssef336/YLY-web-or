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uss\Downloads\"/>
    </mc:Choice>
  </mc:AlternateContent>
  <xr:revisionPtr revIDLastSave="0" documentId="8_{7991AE2C-FE94-429D-9E69-6F4517258F8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ember Evaluation" sheetId="1" r:id="rId1"/>
    <sheet name="Announcement Card" sheetId="2" r:id="rId2"/>
    <sheet name="Lists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E121" i="1" l="1"/>
  <c r="AJ121" i="1"/>
  <c r="S121" i="1"/>
  <c r="AI121" i="1" s="1"/>
  <c r="B121" i="1"/>
  <c r="R121" i="1" s="1"/>
  <c r="DE120" i="1"/>
  <c r="AJ120" i="1"/>
  <c r="CU120" i="1" s="1"/>
  <c r="S120" i="1"/>
  <c r="AI120" i="1" s="1"/>
  <c r="B120" i="1"/>
  <c r="R120" i="1" s="1"/>
  <c r="DE119" i="1"/>
  <c r="AJ119" i="1"/>
  <c r="CS119" i="1" s="1"/>
  <c r="S119" i="1"/>
  <c r="AI119" i="1" s="1"/>
  <c r="B119" i="1"/>
  <c r="R119" i="1" s="1"/>
  <c r="DE118" i="1"/>
  <c r="AJ118" i="1"/>
  <c r="CS118" i="1" s="1"/>
  <c r="S118" i="1"/>
  <c r="AI118" i="1" s="1"/>
  <c r="B118" i="1"/>
  <c r="R118" i="1" s="1"/>
  <c r="DE117" i="1"/>
  <c r="AJ117" i="1"/>
  <c r="CS117" i="1" s="1"/>
  <c r="S117" i="1"/>
  <c r="AI117" i="1" s="1"/>
  <c r="B117" i="1"/>
  <c r="R117" i="1" s="1"/>
  <c r="DE116" i="1"/>
  <c r="AJ116" i="1"/>
  <c r="CU116" i="1" s="1"/>
  <c r="S116" i="1"/>
  <c r="AI116" i="1" s="1"/>
  <c r="B116" i="1"/>
  <c r="R116" i="1" s="1"/>
  <c r="DE115" i="1"/>
  <c r="AJ115" i="1"/>
  <c r="CT115" i="1" s="1"/>
  <c r="S115" i="1"/>
  <c r="AI115" i="1" s="1"/>
  <c r="B115" i="1"/>
  <c r="R115" i="1" s="1"/>
  <c r="DE114" i="1"/>
  <c r="AJ114" i="1"/>
  <c r="CU114" i="1" s="1"/>
  <c r="S114" i="1"/>
  <c r="AI114" i="1" s="1"/>
  <c r="B114" i="1"/>
  <c r="R114" i="1" s="1"/>
  <c r="DE113" i="1"/>
  <c r="AJ113" i="1"/>
  <c r="CS113" i="1" s="1"/>
  <c r="S113" i="1"/>
  <c r="AI113" i="1" s="1"/>
  <c r="B113" i="1"/>
  <c r="R113" i="1" s="1"/>
  <c r="DE112" i="1"/>
  <c r="AJ112" i="1"/>
  <c r="CS112" i="1" s="1"/>
  <c r="S112" i="1"/>
  <c r="AI112" i="1" s="1"/>
  <c r="B112" i="1"/>
  <c r="R112" i="1" s="1"/>
  <c r="DE111" i="1"/>
  <c r="AJ111" i="1"/>
  <c r="CT111" i="1" s="1"/>
  <c r="S111" i="1"/>
  <c r="AI111" i="1" s="1"/>
  <c r="B111" i="1"/>
  <c r="R111" i="1" s="1"/>
  <c r="DE110" i="1"/>
  <c r="AJ110" i="1"/>
  <c r="S110" i="1"/>
  <c r="AI110" i="1" s="1"/>
  <c r="B110" i="1"/>
  <c r="R110" i="1" s="1"/>
  <c r="DE109" i="1"/>
  <c r="AJ109" i="1"/>
  <c r="CT109" i="1" s="1"/>
  <c r="S109" i="1"/>
  <c r="AI109" i="1" s="1"/>
  <c r="B109" i="1"/>
  <c r="R109" i="1" s="1"/>
  <c r="DE108" i="1"/>
  <c r="AJ108" i="1"/>
  <c r="CU108" i="1" s="1"/>
  <c r="S108" i="1"/>
  <c r="AI108" i="1" s="1"/>
  <c r="B108" i="1"/>
  <c r="R108" i="1" s="1"/>
  <c r="DE107" i="1"/>
  <c r="AJ107" i="1"/>
  <c r="CT107" i="1" s="1"/>
  <c r="S107" i="1"/>
  <c r="AI107" i="1" s="1"/>
  <c r="B107" i="1"/>
  <c r="R107" i="1" s="1"/>
  <c r="DE106" i="1"/>
  <c r="AJ106" i="1"/>
  <c r="CU106" i="1" s="1"/>
  <c r="S106" i="1"/>
  <c r="AI106" i="1" s="1"/>
  <c r="B106" i="1"/>
  <c r="R106" i="1" s="1"/>
  <c r="DE105" i="1"/>
  <c r="AJ105" i="1"/>
  <c r="S105" i="1"/>
  <c r="AI105" i="1" s="1"/>
  <c r="B105" i="1"/>
  <c r="R105" i="1" s="1"/>
  <c r="DE104" i="1"/>
  <c r="AJ104" i="1"/>
  <c r="CS104" i="1" s="1"/>
  <c r="S104" i="1"/>
  <c r="AI104" i="1" s="1"/>
  <c r="B104" i="1"/>
  <c r="R104" i="1" s="1"/>
  <c r="DE103" i="1"/>
  <c r="AJ103" i="1"/>
  <c r="CU103" i="1" s="1"/>
  <c r="S103" i="1"/>
  <c r="AI103" i="1" s="1"/>
  <c r="B103" i="1"/>
  <c r="R103" i="1" s="1"/>
  <c r="DE102" i="1"/>
  <c r="AJ102" i="1"/>
  <c r="S102" i="1"/>
  <c r="AI102" i="1" s="1"/>
  <c r="B102" i="1"/>
  <c r="R102" i="1" s="1"/>
  <c r="DE101" i="1"/>
  <c r="AJ101" i="1"/>
  <c r="CT101" i="1" s="1"/>
  <c r="S101" i="1"/>
  <c r="AI101" i="1" s="1"/>
  <c r="B101" i="1"/>
  <c r="R101" i="1" s="1"/>
  <c r="DE100" i="1"/>
  <c r="AJ100" i="1"/>
  <c r="CU100" i="1" s="1"/>
  <c r="S100" i="1"/>
  <c r="AI100" i="1" s="1"/>
  <c r="B100" i="1"/>
  <c r="R100" i="1" s="1"/>
  <c r="DE99" i="1"/>
  <c r="AJ99" i="1"/>
  <c r="CT99" i="1" s="1"/>
  <c r="S99" i="1"/>
  <c r="AI99" i="1" s="1"/>
  <c r="B99" i="1"/>
  <c r="R99" i="1" s="1"/>
  <c r="DE98" i="1"/>
  <c r="AJ98" i="1"/>
  <c r="CU98" i="1" s="1"/>
  <c r="S98" i="1"/>
  <c r="AI98" i="1" s="1"/>
  <c r="B98" i="1"/>
  <c r="R98" i="1" s="1"/>
  <c r="DE97" i="1"/>
  <c r="AJ97" i="1"/>
  <c r="S97" i="1"/>
  <c r="AI97" i="1" s="1"/>
  <c r="B97" i="1"/>
  <c r="R97" i="1" s="1"/>
  <c r="DE96" i="1"/>
  <c r="AJ96" i="1"/>
  <c r="CS96" i="1" s="1"/>
  <c r="S96" i="1"/>
  <c r="AI96" i="1" s="1"/>
  <c r="B96" i="1"/>
  <c r="R96" i="1" s="1"/>
  <c r="DE95" i="1"/>
  <c r="AJ95" i="1"/>
  <c r="CT95" i="1" s="1"/>
  <c r="S95" i="1"/>
  <c r="AI95" i="1" s="1"/>
  <c r="R95" i="1"/>
  <c r="B95" i="1"/>
  <c r="DE94" i="1"/>
  <c r="AJ94" i="1"/>
  <c r="S94" i="1"/>
  <c r="AI94" i="1" s="1"/>
  <c r="B94" i="1"/>
  <c r="R94" i="1" s="1"/>
  <c r="DE93" i="1"/>
  <c r="AJ93" i="1"/>
  <c r="CT93" i="1" s="1"/>
  <c r="S93" i="1"/>
  <c r="AI93" i="1" s="1"/>
  <c r="B93" i="1"/>
  <c r="R93" i="1" s="1"/>
  <c r="DE92" i="1"/>
  <c r="AJ92" i="1"/>
  <c r="CU92" i="1" s="1"/>
  <c r="S92" i="1"/>
  <c r="AI92" i="1" s="1"/>
  <c r="B92" i="1"/>
  <c r="R92" i="1" s="1"/>
  <c r="DE91" i="1"/>
  <c r="AJ91" i="1"/>
  <c r="CT91" i="1" s="1"/>
  <c r="S91" i="1"/>
  <c r="AI91" i="1" s="1"/>
  <c r="B91" i="1"/>
  <c r="R91" i="1" s="1"/>
  <c r="DE90" i="1"/>
  <c r="AJ90" i="1"/>
  <c r="CU90" i="1" s="1"/>
  <c r="S90" i="1"/>
  <c r="AI90" i="1" s="1"/>
  <c r="B90" i="1"/>
  <c r="R90" i="1" s="1"/>
  <c r="DE89" i="1"/>
  <c r="AJ89" i="1"/>
  <c r="S89" i="1"/>
  <c r="AI89" i="1" s="1"/>
  <c r="B89" i="1"/>
  <c r="R89" i="1" s="1"/>
  <c r="DE88" i="1"/>
  <c r="AJ88" i="1"/>
  <c r="CT88" i="1" s="1"/>
  <c r="S88" i="1"/>
  <c r="AI88" i="1" s="1"/>
  <c r="B88" i="1"/>
  <c r="R88" i="1" s="1"/>
  <c r="DE87" i="1"/>
  <c r="AJ87" i="1"/>
  <c r="CU87" i="1" s="1"/>
  <c r="AI87" i="1"/>
  <c r="S87" i="1"/>
  <c r="B87" i="1"/>
  <c r="R87" i="1" s="1"/>
  <c r="DE86" i="1"/>
  <c r="AJ86" i="1"/>
  <c r="S86" i="1"/>
  <c r="AI86" i="1" s="1"/>
  <c r="B86" i="1"/>
  <c r="R86" i="1" s="1"/>
  <c r="DE85" i="1"/>
  <c r="AJ85" i="1"/>
  <c r="CT85" i="1" s="1"/>
  <c r="S85" i="1"/>
  <c r="AI85" i="1" s="1"/>
  <c r="B85" i="1"/>
  <c r="R85" i="1" s="1"/>
  <c r="DE84" i="1"/>
  <c r="AJ84" i="1"/>
  <c r="CU84" i="1" s="1"/>
  <c r="S84" i="1"/>
  <c r="AI84" i="1" s="1"/>
  <c r="B84" i="1"/>
  <c r="R84" i="1" s="1"/>
  <c r="DE83" i="1"/>
  <c r="AJ83" i="1"/>
  <c r="CT83" i="1" s="1"/>
  <c r="S83" i="1"/>
  <c r="AI83" i="1" s="1"/>
  <c r="B83" i="1"/>
  <c r="R83" i="1" s="1"/>
  <c r="DE82" i="1"/>
  <c r="AJ82" i="1"/>
  <c r="CS82" i="1" s="1"/>
  <c r="S82" i="1"/>
  <c r="AI82" i="1" s="1"/>
  <c r="B82" i="1"/>
  <c r="R82" i="1" s="1"/>
  <c r="DE81" i="1"/>
  <c r="AJ81" i="1"/>
  <c r="CU81" i="1" s="1"/>
  <c r="S81" i="1"/>
  <c r="AI81" i="1" s="1"/>
  <c r="B81" i="1"/>
  <c r="R81" i="1" s="1"/>
  <c r="DE80" i="1"/>
  <c r="AJ80" i="1"/>
  <c r="S80" i="1"/>
  <c r="AI80" i="1" s="1"/>
  <c r="B80" i="1"/>
  <c r="R80" i="1" s="1"/>
  <c r="DE79" i="1"/>
  <c r="AJ79" i="1"/>
  <c r="CS79" i="1" s="1"/>
  <c r="S79" i="1"/>
  <c r="AI79" i="1" s="1"/>
  <c r="B79" i="1"/>
  <c r="R79" i="1" s="1"/>
  <c r="DE78" i="1"/>
  <c r="AJ78" i="1"/>
  <c r="CU78" i="1" s="1"/>
  <c r="S78" i="1"/>
  <c r="AI78" i="1" s="1"/>
  <c r="B78" i="1"/>
  <c r="R78" i="1" s="1"/>
  <c r="DE77" i="1"/>
  <c r="AJ77" i="1"/>
  <c r="CU77" i="1" s="1"/>
  <c r="S77" i="1"/>
  <c r="AI77" i="1" s="1"/>
  <c r="B77" i="1"/>
  <c r="R77" i="1" s="1"/>
  <c r="DE76" i="1"/>
  <c r="AJ76" i="1"/>
  <c r="CU76" i="1" s="1"/>
  <c r="S76" i="1"/>
  <c r="AI76" i="1" s="1"/>
  <c r="B76" i="1"/>
  <c r="R76" i="1" s="1"/>
  <c r="DE75" i="1"/>
  <c r="AJ75" i="1"/>
  <c r="CS75" i="1" s="1"/>
  <c r="S75" i="1"/>
  <c r="AI75" i="1" s="1"/>
  <c r="B75" i="1"/>
  <c r="R75" i="1" s="1"/>
  <c r="DE74" i="1"/>
  <c r="AJ74" i="1"/>
  <c r="CT74" i="1" s="1"/>
  <c r="S74" i="1"/>
  <c r="AI74" i="1" s="1"/>
  <c r="B74" i="1"/>
  <c r="R74" i="1" s="1"/>
  <c r="DE73" i="1"/>
  <c r="AJ73" i="1"/>
  <c r="CT73" i="1" s="1"/>
  <c r="S73" i="1"/>
  <c r="AI73" i="1" s="1"/>
  <c r="B73" i="1"/>
  <c r="R73" i="1" s="1"/>
  <c r="DE72" i="1"/>
  <c r="AJ72" i="1"/>
  <c r="S72" i="1"/>
  <c r="AI72" i="1" s="1"/>
  <c r="B72" i="1"/>
  <c r="R72" i="1" s="1"/>
  <c r="DE71" i="1"/>
  <c r="AJ71" i="1"/>
  <c r="CS71" i="1" s="1"/>
  <c r="S71" i="1"/>
  <c r="AI71" i="1" s="1"/>
  <c r="B71" i="1"/>
  <c r="R71" i="1" s="1"/>
  <c r="DE70" i="1"/>
  <c r="AJ70" i="1"/>
  <c r="CS70" i="1" s="1"/>
  <c r="S70" i="1"/>
  <c r="AI70" i="1" s="1"/>
  <c r="B70" i="1"/>
  <c r="R70" i="1" s="1"/>
  <c r="DE69" i="1"/>
  <c r="AJ69" i="1"/>
  <c r="CU69" i="1" s="1"/>
  <c r="S69" i="1"/>
  <c r="AI69" i="1" s="1"/>
  <c r="B69" i="1"/>
  <c r="R69" i="1" s="1"/>
  <c r="DE68" i="1"/>
  <c r="AJ68" i="1"/>
  <c r="CU68" i="1" s="1"/>
  <c r="S68" i="1"/>
  <c r="AI68" i="1" s="1"/>
  <c r="B68" i="1"/>
  <c r="R68" i="1" s="1"/>
  <c r="DE67" i="1"/>
  <c r="AJ67" i="1"/>
  <c r="CU67" i="1" s="1"/>
  <c r="S67" i="1"/>
  <c r="AI67" i="1" s="1"/>
  <c r="B67" i="1"/>
  <c r="R67" i="1" s="1"/>
  <c r="DE66" i="1"/>
  <c r="AJ66" i="1"/>
  <c r="CT66" i="1" s="1"/>
  <c r="S66" i="1"/>
  <c r="AI66" i="1" s="1"/>
  <c r="B66" i="1"/>
  <c r="R66" i="1" s="1"/>
  <c r="DE65" i="1"/>
  <c r="AJ65" i="1"/>
  <c r="CT65" i="1" s="1"/>
  <c r="S65" i="1"/>
  <c r="AI65" i="1" s="1"/>
  <c r="B65" i="1"/>
  <c r="R65" i="1" s="1"/>
  <c r="DE64" i="1"/>
  <c r="AJ64" i="1"/>
  <c r="S64" i="1"/>
  <c r="AI64" i="1" s="1"/>
  <c r="R64" i="1"/>
  <c r="B64" i="1"/>
  <c r="DE63" i="1"/>
  <c r="AJ63" i="1"/>
  <c r="CS63" i="1" s="1"/>
  <c r="S63" i="1"/>
  <c r="AI63" i="1" s="1"/>
  <c r="B63" i="1"/>
  <c r="R63" i="1" s="1"/>
  <c r="DE62" i="1"/>
  <c r="AJ62" i="1"/>
  <c r="CS62" i="1" s="1"/>
  <c r="S62" i="1"/>
  <c r="AI62" i="1" s="1"/>
  <c r="B62" i="1"/>
  <c r="R62" i="1" s="1"/>
  <c r="DE61" i="1"/>
  <c r="AJ61" i="1"/>
  <c r="CU61" i="1" s="1"/>
  <c r="S61" i="1"/>
  <c r="AI61" i="1" s="1"/>
  <c r="B61" i="1"/>
  <c r="R61" i="1" s="1"/>
  <c r="DE60" i="1"/>
  <c r="AJ60" i="1"/>
  <c r="CU60" i="1" s="1"/>
  <c r="S60" i="1"/>
  <c r="AI60" i="1" s="1"/>
  <c r="B60" i="1"/>
  <c r="R60" i="1" s="1"/>
  <c r="DE59" i="1"/>
  <c r="AJ59" i="1"/>
  <c r="CS59" i="1" s="1"/>
  <c r="S59" i="1"/>
  <c r="AI59" i="1" s="1"/>
  <c r="B59" i="1"/>
  <c r="R59" i="1" s="1"/>
  <c r="DE58" i="1"/>
  <c r="AJ58" i="1"/>
  <c r="CT58" i="1" s="1"/>
  <c r="S58" i="1"/>
  <c r="AI58" i="1" s="1"/>
  <c r="B58" i="1"/>
  <c r="R58" i="1" s="1"/>
  <c r="DE57" i="1"/>
  <c r="AJ57" i="1"/>
  <c r="CT57" i="1" s="1"/>
  <c r="S57" i="1"/>
  <c r="AI57" i="1" s="1"/>
  <c r="B57" i="1"/>
  <c r="R57" i="1" s="1"/>
  <c r="DE56" i="1"/>
  <c r="AJ56" i="1"/>
  <c r="S56" i="1"/>
  <c r="AI56" i="1" s="1"/>
  <c r="B56" i="1"/>
  <c r="R56" i="1" s="1"/>
  <c r="DE55" i="1"/>
  <c r="AJ55" i="1"/>
  <c r="CS55" i="1" s="1"/>
  <c r="S55" i="1"/>
  <c r="AI55" i="1" s="1"/>
  <c r="B55" i="1"/>
  <c r="R55" i="1" s="1"/>
  <c r="DE54" i="1"/>
  <c r="AJ54" i="1"/>
  <c r="CS54" i="1" s="1"/>
  <c r="S54" i="1"/>
  <c r="AI54" i="1" s="1"/>
  <c r="B54" i="1"/>
  <c r="R54" i="1" s="1"/>
  <c r="DE53" i="1"/>
  <c r="AJ53" i="1"/>
  <c r="CU53" i="1" s="1"/>
  <c r="S53" i="1"/>
  <c r="AI53" i="1" s="1"/>
  <c r="B53" i="1"/>
  <c r="R53" i="1" s="1"/>
  <c r="DE52" i="1"/>
  <c r="AJ52" i="1"/>
  <c r="CU52" i="1" s="1"/>
  <c r="S52" i="1"/>
  <c r="AI52" i="1" s="1"/>
  <c r="B52" i="1"/>
  <c r="R52" i="1" s="1"/>
  <c r="DE51" i="1"/>
  <c r="AJ51" i="1"/>
  <c r="CU51" i="1" s="1"/>
  <c r="S51" i="1"/>
  <c r="AI51" i="1" s="1"/>
  <c r="B51" i="1"/>
  <c r="R51" i="1" s="1"/>
  <c r="DE50" i="1"/>
  <c r="AJ50" i="1"/>
  <c r="CT50" i="1" s="1"/>
  <c r="S50" i="1"/>
  <c r="AI50" i="1" s="1"/>
  <c r="B50" i="1"/>
  <c r="R50" i="1" s="1"/>
  <c r="DE49" i="1"/>
  <c r="AJ49" i="1"/>
  <c r="CT49" i="1" s="1"/>
  <c r="S49" i="1"/>
  <c r="AI49" i="1" s="1"/>
  <c r="B49" i="1"/>
  <c r="R49" i="1" s="1"/>
  <c r="DE48" i="1"/>
  <c r="AJ48" i="1"/>
  <c r="S48" i="1"/>
  <c r="AI48" i="1" s="1"/>
  <c r="B48" i="1"/>
  <c r="R48" i="1" s="1"/>
  <c r="DE47" i="1"/>
  <c r="AJ47" i="1"/>
  <c r="CS47" i="1" s="1"/>
  <c r="S47" i="1"/>
  <c r="AI47" i="1" s="1"/>
  <c r="B47" i="1"/>
  <c r="R47" i="1" s="1"/>
  <c r="DE46" i="1"/>
  <c r="AJ46" i="1"/>
  <c r="CS46" i="1" s="1"/>
  <c r="S46" i="1"/>
  <c r="AI46" i="1" s="1"/>
  <c r="B46" i="1"/>
  <c r="R46" i="1" s="1"/>
  <c r="DE45" i="1"/>
  <c r="AJ45" i="1"/>
  <c r="CU45" i="1" s="1"/>
  <c r="S45" i="1"/>
  <c r="AI45" i="1" s="1"/>
  <c r="B45" i="1"/>
  <c r="R45" i="1" s="1"/>
  <c r="DE44" i="1"/>
  <c r="AJ44" i="1"/>
  <c r="CU44" i="1" s="1"/>
  <c r="S44" i="1"/>
  <c r="AI44" i="1" s="1"/>
  <c r="B44" i="1"/>
  <c r="R44" i="1" s="1"/>
  <c r="DE43" i="1"/>
  <c r="AJ43" i="1"/>
  <c r="CU43" i="1" s="1"/>
  <c r="S43" i="1"/>
  <c r="AI43" i="1" s="1"/>
  <c r="B43" i="1"/>
  <c r="R43" i="1" s="1"/>
  <c r="DE42" i="1"/>
  <c r="AJ42" i="1"/>
  <c r="CT42" i="1" s="1"/>
  <c r="S42" i="1"/>
  <c r="AI42" i="1" s="1"/>
  <c r="B42" i="1"/>
  <c r="R42" i="1" s="1"/>
  <c r="DE41" i="1"/>
  <c r="AJ41" i="1"/>
  <c r="CT41" i="1" s="1"/>
  <c r="S41" i="1"/>
  <c r="AI41" i="1" s="1"/>
  <c r="B41" i="1"/>
  <c r="R41" i="1" s="1"/>
  <c r="DE40" i="1"/>
  <c r="AJ40" i="1"/>
  <c r="CS40" i="1" s="1"/>
  <c r="S40" i="1"/>
  <c r="AI40" i="1" s="1"/>
  <c r="B40" i="1"/>
  <c r="R40" i="1" s="1"/>
  <c r="DE39" i="1"/>
  <c r="AJ39" i="1"/>
  <c r="CS39" i="1" s="1"/>
  <c r="S39" i="1"/>
  <c r="AI39" i="1" s="1"/>
  <c r="B39" i="1"/>
  <c r="R39" i="1" s="1"/>
  <c r="DE38" i="1"/>
  <c r="AJ38" i="1"/>
  <c r="CS38" i="1" s="1"/>
  <c r="S38" i="1"/>
  <c r="AI38" i="1" s="1"/>
  <c r="B38" i="1"/>
  <c r="R38" i="1" s="1"/>
  <c r="DE37" i="1"/>
  <c r="AJ37" i="1"/>
  <c r="S37" i="1"/>
  <c r="AI37" i="1" s="1"/>
  <c r="B37" i="1"/>
  <c r="R37" i="1" s="1"/>
  <c r="DE36" i="1"/>
  <c r="AJ36" i="1"/>
  <c r="CU36" i="1" s="1"/>
  <c r="S36" i="1"/>
  <c r="AI36" i="1" s="1"/>
  <c r="B36" i="1"/>
  <c r="R36" i="1" s="1"/>
  <c r="DE35" i="1"/>
  <c r="AJ35" i="1"/>
  <c r="CU35" i="1" s="1"/>
  <c r="S35" i="1"/>
  <c r="AI35" i="1" s="1"/>
  <c r="B35" i="1"/>
  <c r="R35" i="1" s="1"/>
  <c r="DE34" i="1"/>
  <c r="AJ34" i="1"/>
  <c r="CT34" i="1" s="1"/>
  <c r="S34" i="1"/>
  <c r="AI34" i="1" s="1"/>
  <c r="B34" i="1"/>
  <c r="R34" i="1" s="1"/>
  <c r="DE33" i="1"/>
  <c r="AJ33" i="1"/>
  <c r="CT33" i="1" s="1"/>
  <c r="S33" i="1"/>
  <c r="AI33" i="1" s="1"/>
  <c r="B33" i="1"/>
  <c r="R33" i="1" s="1"/>
  <c r="DE32" i="1"/>
  <c r="AJ32" i="1"/>
  <c r="CS32" i="1" s="1"/>
  <c r="S32" i="1"/>
  <c r="AI32" i="1" s="1"/>
  <c r="B32" i="1"/>
  <c r="R32" i="1" s="1"/>
  <c r="DE31" i="1"/>
  <c r="AJ31" i="1"/>
  <c r="CS31" i="1" s="1"/>
  <c r="S31" i="1"/>
  <c r="AI31" i="1" s="1"/>
  <c r="B31" i="1"/>
  <c r="R31" i="1" s="1"/>
  <c r="DE30" i="1"/>
  <c r="AJ30" i="1"/>
  <c r="CS30" i="1" s="1"/>
  <c r="S30" i="1"/>
  <c r="AI30" i="1" s="1"/>
  <c r="B30" i="1"/>
  <c r="R30" i="1" s="1"/>
  <c r="DE29" i="1"/>
  <c r="AJ29" i="1"/>
  <c r="S29" i="1"/>
  <c r="AI29" i="1" s="1"/>
  <c r="B29" i="1"/>
  <c r="R29" i="1" s="1"/>
  <c r="DE28" i="1"/>
  <c r="AJ28" i="1"/>
  <c r="CU28" i="1" s="1"/>
  <c r="S28" i="1"/>
  <c r="AI28" i="1" s="1"/>
  <c r="B28" i="1"/>
  <c r="R28" i="1" s="1"/>
  <c r="DE27" i="1"/>
  <c r="AJ27" i="1"/>
  <c r="CS27" i="1" s="1"/>
  <c r="S27" i="1"/>
  <c r="AI27" i="1" s="1"/>
  <c r="B27" i="1"/>
  <c r="R27" i="1" s="1"/>
  <c r="DE26" i="1"/>
  <c r="AJ26" i="1"/>
  <c r="CT26" i="1" s="1"/>
  <c r="S26" i="1"/>
  <c r="AI26" i="1" s="1"/>
  <c r="B26" i="1"/>
  <c r="R26" i="1" s="1"/>
  <c r="DE25" i="1"/>
  <c r="AJ25" i="1"/>
  <c r="CT25" i="1" s="1"/>
  <c r="S25" i="1"/>
  <c r="AI25" i="1" s="1"/>
  <c r="B25" i="1"/>
  <c r="R25" i="1" s="1"/>
  <c r="DE24" i="1"/>
  <c r="AJ24" i="1"/>
  <c r="CS24" i="1" s="1"/>
  <c r="S24" i="1"/>
  <c r="AI24" i="1" s="1"/>
  <c r="B24" i="1"/>
  <c r="R24" i="1" s="1"/>
  <c r="DE23" i="1"/>
  <c r="AJ23" i="1"/>
  <c r="CS23" i="1" s="1"/>
  <c r="S23" i="1"/>
  <c r="AI23" i="1" s="1"/>
  <c r="B23" i="1"/>
  <c r="R23" i="1" s="1"/>
  <c r="DE22" i="1"/>
  <c r="AJ22" i="1"/>
  <c r="CS22" i="1" s="1"/>
  <c r="S22" i="1"/>
  <c r="AI22" i="1" s="1"/>
  <c r="B22" i="1"/>
  <c r="R22" i="1" s="1"/>
  <c r="DE21" i="1"/>
  <c r="AJ21" i="1"/>
  <c r="S21" i="1"/>
  <c r="AI21" i="1" s="1"/>
  <c r="B21" i="1"/>
  <c r="R21" i="1" s="1"/>
  <c r="DE20" i="1"/>
  <c r="AJ20" i="1"/>
  <c r="CU20" i="1" s="1"/>
  <c r="S20" i="1"/>
  <c r="AI20" i="1" s="1"/>
  <c r="B20" i="1"/>
  <c r="R20" i="1" s="1"/>
  <c r="DE19" i="1"/>
  <c r="AJ19" i="1"/>
  <c r="CS19" i="1" s="1"/>
  <c r="S19" i="1"/>
  <c r="AI19" i="1" s="1"/>
  <c r="B19" i="1"/>
  <c r="R19" i="1" s="1"/>
  <c r="DE18" i="1"/>
  <c r="AJ18" i="1"/>
  <c r="CT18" i="1" s="1"/>
  <c r="S18" i="1"/>
  <c r="AI18" i="1" s="1"/>
  <c r="B18" i="1"/>
  <c r="R18" i="1" s="1"/>
  <c r="DE17" i="1"/>
  <c r="AJ17" i="1"/>
  <c r="CT17" i="1" s="1"/>
  <c r="S17" i="1"/>
  <c r="AI17" i="1" s="1"/>
  <c r="B17" i="1"/>
  <c r="R17" i="1" s="1"/>
  <c r="DE16" i="1"/>
  <c r="AJ16" i="1"/>
  <c r="CS16" i="1" s="1"/>
  <c r="S16" i="1"/>
  <c r="AI16" i="1" s="1"/>
  <c r="B16" i="1"/>
  <c r="R16" i="1" s="1"/>
  <c r="DE15" i="1"/>
  <c r="AJ15" i="1"/>
  <c r="CS15" i="1" s="1"/>
  <c r="S15" i="1"/>
  <c r="AI15" i="1" s="1"/>
  <c r="B15" i="1"/>
  <c r="R15" i="1" s="1"/>
  <c r="DE14" i="1"/>
  <c r="AJ14" i="1"/>
  <c r="CS14" i="1" s="1"/>
  <c r="S14" i="1"/>
  <c r="AI14" i="1" s="1"/>
  <c r="B14" i="1"/>
  <c r="R14" i="1" s="1"/>
  <c r="DE13" i="1"/>
  <c r="AJ13" i="1"/>
  <c r="S13" i="1"/>
  <c r="AI13" i="1" s="1"/>
  <c r="B13" i="1"/>
  <c r="R13" i="1" s="1"/>
  <c r="AJ12" i="1"/>
  <c r="CU12" i="1" s="1"/>
  <c r="S12" i="1"/>
  <c r="AI12" i="1" s="1"/>
  <c r="B12" i="1"/>
  <c r="R12" i="1" s="1"/>
  <c r="DE11" i="1"/>
  <c r="AJ11" i="1"/>
  <c r="CS11" i="1" s="1"/>
  <c r="S11" i="1"/>
  <c r="AI11" i="1" s="1"/>
  <c r="B11" i="1"/>
  <c r="R11" i="1" s="1"/>
  <c r="DE10" i="1"/>
  <c r="AJ10" i="1"/>
  <c r="CT10" i="1" s="1"/>
  <c r="S10" i="1"/>
  <c r="AI10" i="1" s="1"/>
  <c r="B10" i="1"/>
  <c r="R10" i="1" s="1"/>
  <c r="DE9" i="1"/>
  <c r="AJ9" i="1"/>
  <c r="CT9" i="1" s="1"/>
  <c r="S9" i="1"/>
  <c r="AI9" i="1" s="1"/>
  <c r="B9" i="1"/>
  <c r="R9" i="1" s="1"/>
  <c r="DE8" i="1"/>
  <c r="AJ8" i="1"/>
  <c r="CS8" i="1" s="1"/>
  <c r="S8" i="1"/>
  <c r="AI8" i="1" s="1"/>
  <c r="B8" i="1"/>
  <c r="R8" i="1" s="1"/>
  <c r="AJ7" i="1"/>
  <c r="CS7" i="1" s="1"/>
  <c r="S7" i="1"/>
  <c r="AI7" i="1" s="1"/>
  <c r="B7" i="1"/>
  <c r="R7" i="1" s="1"/>
  <c r="AJ6" i="1"/>
  <c r="CS6" i="1" s="1"/>
  <c r="S6" i="1"/>
  <c r="AI6" i="1" s="1"/>
  <c r="B6" i="1"/>
  <c r="R6" i="1" s="1"/>
  <c r="AJ5" i="1"/>
  <c r="S5" i="1"/>
  <c r="AI5" i="1" s="1"/>
  <c r="B5" i="1"/>
  <c r="R5" i="1" s="1"/>
  <c r="CT120" i="1" l="1"/>
  <c r="CT38" i="1"/>
  <c r="CT59" i="1"/>
  <c r="CU34" i="1"/>
  <c r="CT70" i="1"/>
  <c r="CS103" i="1"/>
  <c r="CT23" i="1"/>
  <c r="CU82" i="1"/>
  <c r="CS28" i="1"/>
  <c r="CT19" i="1"/>
  <c r="CU50" i="1"/>
  <c r="CT79" i="1"/>
  <c r="CU19" i="1"/>
  <c r="CS100" i="1"/>
  <c r="CV100" i="1" s="1"/>
  <c r="CZ100" i="1" s="1"/>
  <c r="CT104" i="1"/>
  <c r="CS116" i="1"/>
  <c r="CT119" i="1"/>
  <c r="CU70" i="1"/>
  <c r="CT75" i="1"/>
  <c r="CT100" i="1"/>
  <c r="CS109" i="1"/>
  <c r="CU10" i="1"/>
  <c r="CS35" i="1"/>
  <c r="CS36" i="1"/>
  <c r="CT14" i="1"/>
  <c r="CS67" i="1"/>
  <c r="CT35" i="1"/>
  <c r="CT84" i="1"/>
  <c r="CS87" i="1"/>
  <c r="CU99" i="1"/>
  <c r="CS115" i="1"/>
  <c r="CT15" i="1"/>
  <c r="CU26" i="1"/>
  <c r="CU46" i="1"/>
  <c r="CT63" i="1"/>
  <c r="CS68" i="1"/>
  <c r="CU74" i="1"/>
  <c r="CU18" i="1"/>
  <c r="CT27" i="1"/>
  <c r="CU38" i="1"/>
  <c r="CV38" i="1" s="1"/>
  <c r="CZ38" i="1" s="1"/>
  <c r="CS44" i="1"/>
  <c r="CU75" i="1"/>
  <c r="CU79" i="1"/>
  <c r="CU95" i="1"/>
  <c r="CT117" i="1"/>
  <c r="CU27" i="1"/>
  <c r="CT11" i="1"/>
  <c r="CT30" i="1"/>
  <c r="CS43" i="1"/>
  <c r="CU49" i="1"/>
  <c r="CT54" i="1"/>
  <c r="CU57" i="1"/>
  <c r="CT67" i="1"/>
  <c r="CT112" i="1"/>
  <c r="CU11" i="1"/>
  <c r="CT43" i="1"/>
  <c r="CU54" i="1"/>
  <c r="CU101" i="1"/>
  <c r="CS111" i="1"/>
  <c r="CU111" i="1"/>
  <c r="CU42" i="1"/>
  <c r="CT22" i="1"/>
  <c r="CS76" i="1"/>
  <c r="CT96" i="1"/>
  <c r="CS52" i="1"/>
  <c r="CU59" i="1"/>
  <c r="CT62" i="1"/>
  <c r="CU73" i="1"/>
  <c r="CT78" i="1"/>
  <c r="CS83" i="1"/>
  <c r="CS92" i="1"/>
  <c r="CS93" i="1"/>
  <c r="CS108" i="1"/>
  <c r="CU109" i="1"/>
  <c r="CU115" i="1"/>
  <c r="CU14" i="1"/>
  <c r="CU22" i="1"/>
  <c r="CU30" i="1"/>
  <c r="CT6" i="1"/>
  <c r="CU9" i="1"/>
  <c r="CU17" i="1"/>
  <c r="CU25" i="1"/>
  <c r="CU33" i="1"/>
  <c r="CU41" i="1"/>
  <c r="CS51" i="1"/>
  <c r="CU58" i="1"/>
  <c r="CU62" i="1"/>
  <c r="CU65" i="1"/>
  <c r="CU83" i="1"/>
  <c r="CT92" i="1"/>
  <c r="CU93" i="1"/>
  <c r="CT108" i="1"/>
  <c r="CT7" i="1"/>
  <c r="CU6" i="1"/>
  <c r="CT51" i="1"/>
  <c r="CV54" i="1"/>
  <c r="CZ54" i="1" s="1"/>
  <c r="CT55" i="1"/>
  <c r="CT87" i="1"/>
  <c r="CS91" i="1"/>
  <c r="CT103" i="1"/>
  <c r="CS107" i="1"/>
  <c r="CT118" i="1"/>
  <c r="CV67" i="1"/>
  <c r="CZ67" i="1" s="1"/>
  <c r="CU91" i="1"/>
  <c r="CS101" i="1"/>
  <c r="CU107" i="1"/>
  <c r="CU118" i="1"/>
  <c r="CS12" i="1"/>
  <c r="CS20" i="1"/>
  <c r="CT47" i="1"/>
  <c r="CS60" i="1"/>
  <c r="CS74" i="1"/>
  <c r="CV74" i="1" s="1"/>
  <c r="CZ74" i="1" s="1"/>
  <c r="CS85" i="1"/>
  <c r="CS95" i="1"/>
  <c r="CV95" i="1" s="1"/>
  <c r="CZ95" i="1" s="1"/>
  <c r="CT31" i="1"/>
  <c r="CT39" i="1"/>
  <c r="CT46" i="1"/>
  <c r="CV46" i="1" s="1"/>
  <c r="CZ46" i="1" s="1"/>
  <c r="CU66" i="1"/>
  <c r="CT71" i="1"/>
  <c r="CS84" i="1"/>
  <c r="CV84" i="1" s="1"/>
  <c r="CZ84" i="1" s="1"/>
  <c r="CU85" i="1"/>
  <c r="CS99" i="1"/>
  <c r="CT116" i="1"/>
  <c r="CS120" i="1"/>
  <c r="CV120" i="1" s="1"/>
  <c r="CZ120" i="1" s="1"/>
  <c r="CS64" i="1"/>
  <c r="CU64" i="1"/>
  <c r="CT64" i="1"/>
  <c r="CU8" i="1"/>
  <c r="CT8" i="1"/>
  <c r="CT16" i="1"/>
  <c r="CU16" i="1"/>
  <c r="CT24" i="1"/>
  <c r="CU24" i="1"/>
  <c r="CU32" i="1"/>
  <c r="CT32" i="1"/>
  <c r="CT40" i="1"/>
  <c r="CU40" i="1"/>
  <c r="CU21" i="1"/>
  <c r="CT21" i="1"/>
  <c r="CS21" i="1"/>
  <c r="CU29" i="1"/>
  <c r="CT29" i="1"/>
  <c r="CS29" i="1"/>
  <c r="CU37" i="1"/>
  <c r="CS37" i="1"/>
  <c r="CT37" i="1"/>
  <c r="CT89" i="1"/>
  <c r="CS89" i="1"/>
  <c r="CU89" i="1"/>
  <c r="CS72" i="1"/>
  <c r="CU72" i="1"/>
  <c r="CT72" i="1"/>
  <c r="CU13" i="1"/>
  <c r="CS13" i="1"/>
  <c r="CT13" i="1"/>
  <c r="CU48" i="1"/>
  <c r="CT48" i="1"/>
  <c r="CS48" i="1"/>
  <c r="CU5" i="1"/>
  <c r="CS5" i="1"/>
  <c r="CT5" i="1"/>
  <c r="CU56" i="1"/>
  <c r="CT56" i="1"/>
  <c r="CS56" i="1"/>
  <c r="CU105" i="1"/>
  <c r="CT105" i="1"/>
  <c r="CT121" i="1"/>
  <c r="CS121" i="1"/>
  <c r="CU7" i="1"/>
  <c r="CS9" i="1"/>
  <c r="CT12" i="1"/>
  <c r="CU15" i="1"/>
  <c r="CS17" i="1"/>
  <c r="CT20" i="1"/>
  <c r="CU23" i="1"/>
  <c r="CS25" i="1"/>
  <c r="CT28" i="1"/>
  <c r="CU31" i="1"/>
  <c r="CV31" i="1" s="1"/>
  <c r="CZ31" i="1" s="1"/>
  <c r="CS33" i="1"/>
  <c r="CV33" i="1" s="1"/>
  <c r="CZ33" i="1" s="1"/>
  <c r="CT36" i="1"/>
  <c r="CU39" i="1"/>
  <c r="CS41" i="1"/>
  <c r="CT44" i="1"/>
  <c r="CU47" i="1"/>
  <c r="CS49" i="1"/>
  <c r="CT52" i="1"/>
  <c r="CV52" i="1" s="1"/>
  <c r="CZ52" i="1" s="1"/>
  <c r="CU55" i="1"/>
  <c r="CV55" i="1" s="1"/>
  <c r="CZ55" i="1" s="1"/>
  <c r="CS57" i="1"/>
  <c r="CT60" i="1"/>
  <c r="CU63" i="1"/>
  <c r="CV63" i="1" s="1"/>
  <c r="CZ63" i="1" s="1"/>
  <c r="CS65" i="1"/>
  <c r="CT68" i="1"/>
  <c r="CU71" i="1"/>
  <c r="CS73" i="1"/>
  <c r="CV73" i="1" s="1"/>
  <c r="CZ73" i="1" s="1"/>
  <c r="CT76" i="1"/>
  <c r="CS80" i="1"/>
  <c r="CU80" i="1"/>
  <c r="CS105" i="1"/>
  <c r="CU121" i="1"/>
  <c r="CU110" i="1"/>
  <c r="CT110" i="1"/>
  <c r="CS110" i="1"/>
  <c r="CT114" i="1"/>
  <c r="CS114" i="1"/>
  <c r="CS78" i="1"/>
  <c r="CV78" i="1" s="1"/>
  <c r="CZ78" i="1" s="1"/>
  <c r="CT80" i="1"/>
  <c r="CS88" i="1"/>
  <c r="CU88" i="1"/>
  <c r="CT90" i="1"/>
  <c r="CS90" i="1"/>
  <c r="CV111" i="1"/>
  <c r="CZ111" i="1" s="1"/>
  <c r="CU113" i="1"/>
  <c r="CT113" i="1"/>
  <c r="CS69" i="1"/>
  <c r="CS77" i="1"/>
  <c r="CS81" i="1"/>
  <c r="CS45" i="1"/>
  <c r="CS10" i="1"/>
  <c r="CV10" i="1" s="1"/>
  <c r="CZ10" i="1" s="1"/>
  <c r="CS18" i="1"/>
  <c r="CV18" i="1" s="1"/>
  <c r="CZ18" i="1" s="1"/>
  <c r="CS26" i="1"/>
  <c r="CS34" i="1"/>
  <c r="CV34" i="1" s="1"/>
  <c r="CZ34" i="1" s="1"/>
  <c r="CS42" i="1"/>
  <c r="CT45" i="1"/>
  <c r="CS50" i="1"/>
  <c r="CT53" i="1"/>
  <c r="CS58" i="1"/>
  <c r="CV58" i="1" s="1"/>
  <c r="CZ58" i="1" s="1"/>
  <c r="CT61" i="1"/>
  <c r="CS66" i="1"/>
  <c r="CT69" i="1"/>
  <c r="CT77" i="1"/>
  <c r="CT81" i="1"/>
  <c r="CU86" i="1"/>
  <c r="CS86" i="1"/>
  <c r="CU97" i="1"/>
  <c r="CT97" i="1"/>
  <c r="CU102" i="1"/>
  <c r="CT102" i="1"/>
  <c r="CS102" i="1"/>
  <c r="CT106" i="1"/>
  <c r="CS106" i="1"/>
  <c r="CU94" i="1"/>
  <c r="CT94" i="1"/>
  <c r="CS94" i="1"/>
  <c r="CT98" i="1"/>
  <c r="CS98" i="1"/>
  <c r="CS53" i="1"/>
  <c r="CS61" i="1"/>
  <c r="CT82" i="1"/>
  <c r="CT86" i="1"/>
  <c r="CS97" i="1"/>
  <c r="CU96" i="1"/>
  <c r="CU104" i="1"/>
  <c r="CU112" i="1"/>
  <c r="CU117" i="1"/>
  <c r="CU119" i="1"/>
  <c r="CV22" i="1" l="1"/>
  <c r="CZ22" i="1" s="1"/>
  <c r="DB22" i="1" s="1"/>
  <c r="CV99" i="1"/>
  <c r="CZ99" i="1" s="1"/>
  <c r="DB99" i="1" s="1"/>
  <c r="CV70" i="1"/>
  <c r="CZ70" i="1" s="1"/>
  <c r="CV104" i="1"/>
  <c r="CZ104" i="1" s="1"/>
  <c r="DA104" i="1" s="1"/>
  <c r="CV82" i="1"/>
  <c r="CZ82" i="1" s="1"/>
  <c r="DA82" i="1" s="1"/>
  <c r="CV50" i="1"/>
  <c r="CZ50" i="1" s="1"/>
  <c r="DB50" i="1" s="1"/>
  <c r="CV103" i="1"/>
  <c r="CZ103" i="1" s="1"/>
  <c r="DA103" i="1" s="1"/>
  <c r="CV117" i="1"/>
  <c r="CZ117" i="1" s="1"/>
  <c r="DB117" i="1" s="1"/>
  <c r="CV87" i="1"/>
  <c r="CZ87" i="1" s="1"/>
  <c r="DA87" i="1" s="1"/>
  <c r="CV109" i="1"/>
  <c r="CZ109" i="1" s="1"/>
  <c r="DA109" i="1" s="1"/>
  <c r="CV59" i="1"/>
  <c r="CZ59" i="1" s="1"/>
  <c r="DA59" i="1" s="1"/>
  <c r="CV19" i="1"/>
  <c r="CZ19" i="1" s="1"/>
  <c r="DA19" i="1" s="1"/>
  <c r="CV23" i="1"/>
  <c r="CZ23" i="1" s="1"/>
  <c r="DA23" i="1" s="1"/>
  <c r="CV43" i="1"/>
  <c r="CZ43" i="1" s="1"/>
  <c r="DA43" i="1" s="1"/>
  <c r="CV14" i="1"/>
  <c r="CZ14" i="1" s="1"/>
  <c r="DA14" i="1" s="1"/>
  <c r="DA95" i="1"/>
  <c r="DB95" i="1"/>
  <c r="DB109" i="1"/>
  <c r="DA84" i="1"/>
  <c r="DB84" i="1"/>
  <c r="DB104" i="1"/>
  <c r="DA74" i="1"/>
  <c r="DB74" i="1"/>
  <c r="DA38" i="1"/>
  <c r="DB38" i="1"/>
  <c r="DA18" i="1"/>
  <c r="DB18" i="1"/>
  <c r="DA78" i="1"/>
  <c r="DB78" i="1"/>
  <c r="DA67" i="1"/>
  <c r="DB67" i="1"/>
  <c r="DA34" i="1"/>
  <c r="DB34" i="1"/>
  <c r="DA54" i="1"/>
  <c r="DB54" i="1"/>
  <c r="DA10" i="1"/>
  <c r="DB10" i="1"/>
  <c r="DA46" i="1"/>
  <c r="DB46" i="1"/>
  <c r="DA63" i="1"/>
  <c r="DB63" i="1"/>
  <c r="DA58" i="1"/>
  <c r="DB58" i="1"/>
  <c r="DA111" i="1"/>
  <c r="DB111" i="1"/>
  <c r="DA55" i="1"/>
  <c r="DB55" i="1"/>
  <c r="DA33" i="1"/>
  <c r="DB33" i="1"/>
  <c r="DA120" i="1"/>
  <c r="DB120" i="1"/>
  <c r="DA100" i="1"/>
  <c r="DB100" i="1"/>
  <c r="DA73" i="1"/>
  <c r="DB73" i="1"/>
  <c r="DA52" i="1"/>
  <c r="DB52" i="1"/>
  <c r="DA31" i="1"/>
  <c r="DB31" i="1"/>
  <c r="DA70" i="1"/>
  <c r="DB70" i="1"/>
  <c r="DA99" i="1"/>
  <c r="CV9" i="1"/>
  <c r="CZ9" i="1" s="1"/>
  <c r="CV28" i="1"/>
  <c r="CZ28" i="1" s="1"/>
  <c r="CV44" i="1"/>
  <c r="CZ44" i="1" s="1"/>
  <c r="CV108" i="1"/>
  <c r="CZ108" i="1" s="1"/>
  <c r="CV119" i="1"/>
  <c r="CZ119" i="1" s="1"/>
  <c r="CV26" i="1"/>
  <c r="CZ26" i="1" s="1"/>
  <c r="CV105" i="1"/>
  <c r="CZ105" i="1" s="1"/>
  <c r="CV53" i="1"/>
  <c r="CZ53" i="1" s="1"/>
  <c r="CV30" i="1"/>
  <c r="CZ30" i="1" s="1"/>
  <c r="CV51" i="1"/>
  <c r="CZ51" i="1" s="1"/>
  <c r="CV60" i="1"/>
  <c r="CZ60" i="1" s="1"/>
  <c r="CV62" i="1"/>
  <c r="CZ62" i="1" s="1"/>
  <c r="CV76" i="1"/>
  <c r="CZ76" i="1" s="1"/>
  <c r="CV79" i="1"/>
  <c r="CZ79" i="1" s="1"/>
  <c r="CV68" i="1"/>
  <c r="CZ68" i="1" s="1"/>
  <c r="CV25" i="1"/>
  <c r="CZ25" i="1" s="1"/>
  <c r="CV72" i="1"/>
  <c r="CZ72" i="1" s="1"/>
  <c r="CV16" i="1"/>
  <c r="CZ16" i="1" s="1"/>
  <c r="CV107" i="1"/>
  <c r="CZ107" i="1" s="1"/>
  <c r="CV11" i="1"/>
  <c r="CZ11" i="1" s="1"/>
  <c r="CV27" i="1"/>
  <c r="CZ27" i="1" s="1"/>
  <c r="CV115" i="1"/>
  <c r="CZ115" i="1" s="1"/>
  <c r="CV35" i="1"/>
  <c r="CZ35" i="1" s="1"/>
  <c r="CV57" i="1"/>
  <c r="CZ57" i="1" s="1"/>
  <c r="CV112" i="1"/>
  <c r="CZ112" i="1" s="1"/>
  <c r="CV20" i="1"/>
  <c r="CZ20" i="1" s="1"/>
  <c r="CV91" i="1"/>
  <c r="CZ91" i="1" s="1"/>
  <c r="CV36" i="1"/>
  <c r="CZ36" i="1" s="1"/>
  <c r="CV15" i="1"/>
  <c r="CZ15" i="1" s="1"/>
  <c r="CV12" i="1"/>
  <c r="CZ12" i="1" s="1"/>
  <c r="CV42" i="1"/>
  <c r="CZ42" i="1" s="1"/>
  <c r="CV116" i="1"/>
  <c r="CZ116" i="1" s="1"/>
  <c r="CV75" i="1"/>
  <c r="CZ75" i="1" s="1"/>
  <c r="CV69" i="1"/>
  <c r="CZ69" i="1" s="1"/>
  <c r="CV6" i="1"/>
  <c r="CZ6" i="1" s="1"/>
  <c r="CV96" i="1"/>
  <c r="CZ96" i="1" s="1"/>
  <c r="CV61" i="1"/>
  <c r="CZ61" i="1" s="1"/>
  <c r="CV47" i="1"/>
  <c r="CZ47" i="1" s="1"/>
  <c r="CV121" i="1"/>
  <c r="CZ121" i="1" s="1"/>
  <c r="CV85" i="1"/>
  <c r="CZ85" i="1" s="1"/>
  <c r="CV83" i="1"/>
  <c r="CZ83" i="1" s="1"/>
  <c r="CV40" i="1"/>
  <c r="CZ40" i="1" s="1"/>
  <c r="CV8" i="1"/>
  <c r="CZ8" i="1" s="1"/>
  <c r="CV101" i="1"/>
  <c r="CZ101" i="1" s="1"/>
  <c r="CV66" i="1"/>
  <c r="CZ66" i="1" s="1"/>
  <c r="CV80" i="1"/>
  <c r="CZ80" i="1" s="1"/>
  <c r="CV49" i="1"/>
  <c r="CZ49" i="1" s="1"/>
  <c r="CV24" i="1"/>
  <c r="CZ24" i="1" s="1"/>
  <c r="CV90" i="1"/>
  <c r="CZ90" i="1" s="1"/>
  <c r="CV114" i="1"/>
  <c r="CZ114" i="1" s="1"/>
  <c r="CV65" i="1"/>
  <c r="CZ65" i="1" s="1"/>
  <c r="CV118" i="1"/>
  <c r="CZ118" i="1" s="1"/>
  <c r="CV41" i="1"/>
  <c r="CZ41" i="1" s="1"/>
  <c r="CV110" i="1"/>
  <c r="CZ110" i="1" s="1"/>
  <c r="CV39" i="1"/>
  <c r="CZ39" i="1" s="1"/>
  <c r="CV17" i="1"/>
  <c r="CZ17" i="1" s="1"/>
  <c r="CV89" i="1"/>
  <c r="CZ89" i="1" s="1"/>
  <c r="CV94" i="1"/>
  <c r="CZ94" i="1" s="1"/>
  <c r="CV113" i="1"/>
  <c r="CZ113" i="1" s="1"/>
  <c r="CV93" i="1"/>
  <c r="CZ93" i="1" s="1"/>
  <c r="CV71" i="1"/>
  <c r="CZ71" i="1" s="1"/>
  <c r="CV32" i="1"/>
  <c r="CZ32" i="1" s="1"/>
  <c r="CV92" i="1"/>
  <c r="CZ92" i="1" s="1"/>
  <c r="CV7" i="1"/>
  <c r="CZ7" i="1" s="1"/>
  <c r="CV102" i="1"/>
  <c r="CZ102" i="1" s="1"/>
  <c r="CV81" i="1"/>
  <c r="CZ81" i="1" s="1"/>
  <c r="CV21" i="1"/>
  <c r="CZ21" i="1" s="1"/>
  <c r="CV77" i="1"/>
  <c r="CZ77" i="1" s="1"/>
  <c r="CV37" i="1"/>
  <c r="CZ37" i="1" s="1"/>
  <c r="CV5" i="1"/>
  <c r="CZ5" i="1" s="1"/>
  <c r="CV88" i="1"/>
  <c r="CZ88" i="1" s="1"/>
  <c r="CV13" i="1"/>
  <c r="CZ13" i="1" s="1"/>
  <c r="CV64" i="1"/>
  <c r="CZ64" i="1" s="1"/>
  <c r="CV29" i="1"/>
  <c r="CZ29" i="1" s="1"/>
  <c r="CV98" i="1"/>
  <c r="CZ98" i="1" s="1"/>
  <c r="CV86" i="1"/>
  <c r="CZ86" i="1" s="1"/>
  <c r="CV45" i="1"/>
  <c r="CZ45" i="1" s="1"/>
  <c r="CV56" i="1"/>
  <c r="CZ56" i="1" s="1"/>
  <c r="CV48" i="1"/>
  <c r="CZ48" i="1" s="1"/>
  <c r="CV97" i="1"/>
  <c r="CZ97" i="1" s="1"/>
  <c r="CV106" i="1"/>
  <c r="CZ106" i="1" s="1"/>
  <c r="DA50" i="1" l="1"/>
  <c r="DB43" i="1"/>
  <c r="DA22" i="1"/>
  <c r="DA117" i="1"/>
  <c r="DB82" i="1"/>
  <c r="DB103" i="1"/>
  <c r="DB23" i="1"/>
  <c r="DB19" i="1"/>
  <c r="DB14" i="1"/>
  <c r="DB59" i="1"/>
  <c r="DB87" i="1"/>
  <c r="DA89" i="1"/>
  <c r="DB89" i="1"/>
  <c r="DA72" i="1"/>
  <c r="DB72" i="1"/>
  <c r="DA7" i="1"/>
  <c r="DB7" i="1"/>
  <c r="DA85" i="1"/>
  <c r="DB85" i="1"/>
  <c r="DA25" i="1"/>
  <c r="DB25" i="1"/>
  <c r="DA88" i="1"/>
  <c r="DB88" i="1"/>
  <c r="DA39" i="1"/>
  <c r="DB39" i="1"/>
  <c r="DA49" i="1"/>
  <c r="DB49" i="1"/>
  <c r="DA121" i="1"/>
  <c r="DB121" i="1"/>
  <c r="DA42" i="1"/>
  <c r="DB42" i="1"/>
  <c r="DA35" i="1"/>
  <c r="DB35" i="1"/>
  <c r="DA68" i="1"/>
  <c r="DB68" i="1"/>
  <c r="DA105" i="1"/>
  <c r="DB105" i="1"/>
  <c r="DA56" i="1"/>
  <c r="DB56" i="1"/>
  <c r="DA5" i="1"/>
  <c r="DB5" i="1"/>
  <c r="DA32" i="1"/>
  <c r="DB32" i="1"/>
  <c r="DA110" i="1"/>
  <c r="DB110" i="1"/>
  <c r="DA80" i="1"/>
  <c r="DB80" i="1"/>
  <c r="DA47" i="1"/>
  <c r="DB47" i="1"/>
  <c r="DA12" i="1"/>
  <c r="DE12" i="1" s="1"/>
  <c r="DB12" i="1"/>
  <c r="DA115" i="1"/>
  <c r="DB115" i="1"/>
  <c r="DA79" i="1"/>
  <c r="DB79" i="1"/>
  <c r="DA26" i="1"/>
  <c r="DB26" i="1"/>
  <c r="DA112" i="1"/>
  <c r="DB112" i="1"/>
  <c r="DA102" i="1"/>
  <c r="DB102" i="1"/>
  <c r="DA30" i="1"/>
  <c r="DB30" i="1"/>
  <c r="DA24" i="1"/>
  <c r="DB24" i="1"/>
  <c r="DA92" i="1"/>
  <c r="DB92" i="1"/>
  <c r="DA41" i="1"/>
  <c r="DB41" i="1"/>
  <c r="DA27" i="1"/>
  <c r="DB27" i="1"/>
  <c r="DA86" i="1"/>
  <c r="DB86" i="1"/>
  <c r="DA77" i="1"/>
  <c r="DB77" i="1"/>
  <c r="DA93" i="1"/>
  <c r="DB93" i="1"/>
  <c r="DA118" i="1"/>
  <c r="DB118" i="1"/>
  <c r="DA101" i="1"/>
  <c r="DB101" i="1"/>
  <c r="DA96" i="1"/>
  <c r="DB96" i="1"/>
  <c r="DA36" i="1"/>
  <c r="DB36" i="1"/>
  <c r="DA11" i="1"/>
  <c r="DB11" i="1"/>
  <c r="DA62" i="1"/>
  <c r="DB62" i="1"/>
  <c r="DA108" i="1"/>
  <c r="DB108" i="1"/>
  <c r="DA64" i="1"/>
  <c r="DB64" i="1"/>
  <c r="DA75" i="1"/>
  <c r="DB75" i="1"/>
  <c r="DA13" i="1"/>
  <c r="DB13" i="1"/>
  <c r="DA57" i="1"/>
  <c r="DB57" i="1"/>
  <c r="DA48" i="1"/>
  <c r="DB48" i="1"/>
  <c r="DA45" i="1"/>
  <c r="DB45" i="1"/>
  <c r="DA71" i="1"/>
  <c r="DB71" i="1"/>
  <c r="DA61" i="1"/>
  <c r="DB61" i="1"/>
  <c r="DA76" i="1"/>
  <c r="DB76" i="1"/>
  <c r="DA21" i="1"/>
  <c r="DB21" i="1"/>
  <c r="DA65" i="1"/>
  <c r="DB65" i="1"/>
  <c r="DA6" i="1"/>
  <c r="DE6" i="1" s="1"/>
  <c r="DB6" i="1"/>
  <c r="DA107" i="1"/>
  <c r="DB107" i="1"/>
  <c r="DA44" i="1"/>
  <c r="DB44" i="1"/>
  <c r="DA106" i="1"/>
  <c r="DB106" i="1"/>
  <c r="DA90" i="1"/>
  <c r="DB90" i="1"/>
  <c r="DA9" i="1"/>
  <c r="DB9" i="1"/>
  <c r="DA97" i="1"/>
  <c r="DB97" i="1"/>
  <c r="DA17" i="1"/>
  <c r="DB17" i="1"/>
  <c r="DA116" i="1"/>
  <c r="DB116" i="1"/>
  <c r="DA53" i="1"/>
  <c r="DB53" i="1"/>
  <c r="DA37" i="1"/>
  <c r="DB37" i="1"/>
  <c r="DA66" i="1"/>
  <c r="DB66" i="1"/>
  <c r="DA15" i="1"/>
  <c r="DB15" i="1"/>
  <c r="DA119" i="1"/>
  <c r="DB119" i="1"/>
  <c r="DA98" i="1"/>
  <c r="DB98" i="1"/>
  <c r="DA113" i="1"/>
  <c r="DB113" i="1"/>
  <c r="DA8" i="1"/>
  <c r="DB8" i="1"/>
  <c r="DA91" i="1"/>
  <c r="DB91" i="1"/>
  <c r="DA60" i="1"/>
  <c r="DB60" i="1"/>
  <c r="DA29" i="1"/>
  <c r="DB29" i="1"/>
  <c r="DA81" i="1"/>
  <c r="DB81" i="1"/>
  <c r="DA94" i="1"/>
  <c r="DB94" i="1"/>
  <c r="DA114" i="1"/>
  <c r="DB114" i="1"/>
  <c r="DA40" i="1"/>
  <c r="DB40" i="1"/>
  <c r="DA69" i="1"/>
  <c r="DB69" i="1"/>
  <c r="DA20" i="1"/>
  <c r="DB20" i="1"/>
  <c r="DA16" i="1"/>
  <c r="DB16" i="1"/>
  <c r="DA51" i="1"/>
  <c r="DB51" i="1"/>
  <c r="DA28" i="1"/>
  <c r="DB28" i="1"/>
  <c r="DA83" i="1"/>
  <c r="DB83" i="1"/>
  <c r="DE7" i="1"/>
  <c r="DE5" i="1"/>
  <c r="E301" i="2" l="1"/>
  <c r="D301" i="2"/>
  <c r="B301" i="2"/>
  <c r="C301" i="2" s="1"/>
  <c r="E300" i="2"/>
  <c r="D300" i="2"/>
  <c r="B300" i="2"/>
  <c r="C300" i="2" s="1"/>
  <c r="D297" i="2"/>
  <c r="E294" i="2"/>
  <c r="B292" i="2"/>
  <c r="C292" i="2" s="1"/>
  <c r="D289" i="2"/>
  <c r="E286" i="2"/>
  <c r="B284" i="2"/>
  <c r="C284" i="2" s="1"/>
  <c r="D281" i="2"/>
  <c r="E278" i="2"/>
  <c r="B276" i="2"/>
  <c r="C276" i="2" s="1"/>
  <c r="D273" i="2"/>
  <c r="E270" i="2"/>
  <c r="B268" i="2"/>
  <c r="C268" i="2" s="1"/>
  <c r="D265" i="2"/>
  <c r="E262" i="2"/>
  <c r="B260" i="2"/>
  <c r="C260" i="2" s="1"/>
  <c r="D257" i="2"/>
  <c r="E254" i="2"/>
  <c r="B252" i="2"/>
  <c r="C252" i="2" s="1"/>
  <c r="D249" i="2"/>
  <c r="E246" i="2"/>
  <c r="B244" i="2"/>
  <c r="C244" i="2" s="1"/>
  <c r="D241" i="2"/>
  <c r="E238" i="2"/>
  <c r="B236" i="2"/>
  <c r="C236" i="2" s="1"/>
  <c r="D233" i="2"/>
  <c r="E230" i="2"/>
  <c r="B228" i="2"/>
  <c r="C228" i="2" s="1"/>
  <c r="D225" i="2"/>
  <c r="E222" i="2"/>
  <c r="B220" i="2"/>
  <c r="C220" i="2" s="1"/>
  <c r="D217" i="2"/>
  <c r="E214" i="2"/>
  <c r="B212" i="2"/>
  <c r="C212" i="2" s="1"/>
  <c r="D209" i="2"/>
  <c r="E206" i="2"/>
  <c r="B204" i="2"/>
  <c r="C204" i="2" s="1"/>
  <c r="D201" i="2"/>
  <c r="E198" i="2"/>
  <c r="B196" i="2"/>
  <c r="C196" i="2" s="1"/>
  <c r="D193" i="2"/>
  <c r="E190" i="2"/>
  <c r="B188" i="2"/>
  <c r="C188" i="2" s="1"/>
  <c r="D185" i="2"/>
  <c r="E182" i="2"/>
  <c r="B180" i="2"/>
  <c r="C180" i="2" s="1"/>
  <c r="D177" i="2"/>
  <c r="E174" i="2"/>
  <c r="B172" i="2"/>
  <c r="C172" i="2" s="1"/>
  <c r="D169" i="2"/>
  <c r="E166" i="2"/>
  <c r="B164" i="2"/>
  <c r="C164" i="2" s="1"/>
  <c r="D161" i="2"/>
  <c r="E158" i="2"/>
  <c r="B156" i="2"/>
  <c r="C156" i="2" s="1"/>
  <c r="D153" i="2"/>
  <c r="E150" i="2"/>
  <c r="B148" i="2"/>
  <c r="C148" i="2" s="1"/>
  <c r="D145" i="2"/>
  <c r="E142" i="2"/>
  <c r="B140" i="2"/>
  <c r="C140" i="2" s="1"/>
  <c r="D137" i="2"/>
  <c r="E134" i="2"/>
  <c r="B132" i="2"/>
  <c r="C132" i="2" s="1"/>
  <c r="B130" i="2"/>
  <c r="C130" i="2" s="1"/>
  <c r="B128" i="2"/>
  <c r="C128" i="2" s="1"/>
  <c r="B126" i="2"/>
  <c r="C126" i="2" s="1"/>
  <c r="B124" i="2"/>
  <c r="C124" i="2" s="1"/>
  <c r="B122" i="2"/>
  <c r="C122" i="2" s="1"/>
  <c r="B120" i="2"/>
  <c r="C120" i="2" s="1"/>
  <c r="E299" i="2"/>
  <c r="B297" i="2"/>
  <c r="C297" i="2" s="1"/>
  <c r="D294" i="2"/>
  <c r="E291" i="2"/>
  <c r="B289" i="2"/>
  <c r="C289" i="2" s="1"/>
  <c r="D286" i="2"/>
  <c r="E283" i="2"/>
  <c r="B281" i="2"/>
  <c r="C281" i="2" s="1"/>
  <c r="D278" i="2"/>
  <c r="E275" i="2"/>
  <c r="B273" i="2"/>
  <c r="C273" i="2" s="1"/>
  <c r="D270" i="2"/>
  <c r="E267" i="2"/>
  <c r="B265" i="2"/>
  <c r="C265" i="2" s="1"/>
  <c r="D262" i="2"/>
  <c r="E259" i="2"/>
  <c r="B257" i="2"/>
  <c r="C257" i="2" s="1"/>
  <c r="D254" i="2"/>
  <c r="E251" i="2"/>
  <c r="B249" i="2"/>
  <c r="C249" i="2" s="1"/>
  <c r="D246" i="2"/>
  <c r="E243" i="2"/>
  <c r="B241" i="2"/>
  <c r="C241" i="2" s="1"/>
  <c r="D238" i="2"/>
  <c r="E235" i="2"/>
  <c r="B233" i="2"/>
  <c r="C233" i="2" s="1"/>
  <c r="D230" i="2"/>
  <c r="E227" i="2"/>
  <c r="B225" i="2"/>
  <c r="C225" i="2" s="1"/>
  <c r="D222" i="2"/>
  <c r="E219" i="2"/>
  <c r="B217" i="2"/>
  <c r="C217" i="2" s="1"/>
  <c r="D214" i="2"/>
  <c r="E211" i="2"/>
  <c r="B209" i="2"/>
  <c r="C209" i="2" s="1"/>
  <c r="D206" i="2"/>
  <c r="E203" i="2"/>
  <c r="B201" i="2"/>
  <c r="C201" i="2" s="1"/>
  <c r="D198" i="2"/>
  <c r="E195" i="2"/>
  <c r="B193" i="2"/>
  <c r="C193" i="2" s="1"/>
  <c r="D190" i="2"/>
  <c r="E187" i="2"/>
  <c r="B185" i="2"/>
  <c r="C185" i="2" s="1"/>
  <c r="D182" i="2"/>
  <c r="E179" i="2"/>
  <c r="B177" i="2"/>
  <c r="C177" i="2" s="1"/>
  <c r="D174" i="2"/>
  <c r="E171" i="2"/>
  <c r="B169" i="2"/>
  <c r="C169" i="2" s="1"/>
  <c r="D166" i="2"/>
  <c r="E163" i="2"/>
  <c r="B161" i="2"/>
  <c r="C161" i="2" s="1"/>
  <c r="D158" i="2"/>
  <c r="E155" i="2"/>
  <c r="B153" i="2"/>
  <c r="C153" i="2" s="1"/>
  <c r="D150" i="2"/>
  <c r="E147" i="2"/>
  <c r="B145" i="2"/>
  <c r="C145" i="2" s="1"/>
  <c r="D142" i="2"/>
  <c r="E139" i="2"/>
  <c r="B137" i="2"/>
  <c r="C137" i="2" s="1"/>
  <c r="D134" i="2"/>
  <c r="E131" i="2"/>
  <c r="E129" i="2"/>
  <c r="E127" i="2"/>
  <c r="E125" i="2"/>
  <c r="E123" i="2"/>
  <c r="E121" i="2"/>
  <c r="E119" i="2"/>
  <c r="E117" i="2"/>
  <c r="E115" i="2"/>
  <c r="E113" i="2"/>
  <c r="E111" i="2"/>
  <c r="E109" i="2"/>
  <c r="E107" i="2"/>
  <c r="E105" i="2"/>
  <c r="E103" i="2"/>
  <c r="E101" i="2"/>
  <c r="E99" i="2"/>
  <c r="E97" i="2"/>
  <c r="E95" i="2"/>
  <c r="E93" i="2"/>
  <c r="E91" i="2"/>
  <c r="E89" i="2"/>
  <c r="D299" i="2"/>
  <c r="E296" i="2"/>
  <c r="B294" i="2"/>
  <c r="C294" i="2" s="1"/>
  <c r="D291" i="2"/>
  <c r="E288" i="2"/>
  <c r="B286" i="2"/>
  <c r="C286" i="2" s="1"/>
  <c r="D283" i="2"/>
  <c r="E280" i="2"/>
  <c r="B278" i="2"/>
  <c r="C278" i="2" s="1"/>
  <c r="D275" i="2"/>
  <c r="E272" i="2"/>
  <c r="B270" i="2"/>
  <c r="C270" i="2" s="1"/>
  <c r="D267" i="2"/>
  <c r="E264" i="2"/>
  <c r="B262" i="2"/>
  <c r="C262" i="2" s="1"/>
  <c r="D259" i="2"/>
  <c r="E256" i="2"/>
  <c r="B254" i="2"/>
  <c r="C254" i="2" s="1"/>
  <c r="D251" i="2"/>
  <c r="E248" i="2"/>
  <c r="B246" i="2"/>
  <c r="C246" i="2" s="1"/>
  <c r="D243" i="2"/>
  <c r="E240" i="2"/>
  <c r="B238" i="2"/>
  <c r="C238" i="2" s="1"/>
  <c r="D235" i="2"/>
  <c r="E232" i="2"/>
  <c r="B230" i="2"/>
  <c r="C230" i="2" s="1"/>
  <c r="D227" i="2"/>
  <c r="E224" i="2"/>
  <c r="B222" i="2"/>
  <c r="C222" i="2" s="1"/>
  <c r="D219" i="2"/>
  <c r="E216" i="2"/>
  <c r="B214" i="2"/>
  <c r="C214" i="2" s="1"/>
  <c r="D211" i="2"/>
  <c r="E208" i="2"/>
  <c r="B206" i="2"/>
  <c r="C206" i="2" s="1"/>
  <c r="D203" i="2"/>
  <c r="E200" i="2"/>
  <c r="B198" i="2"/>
  <c r="C198" i="2" s="1"/>
  <c r="D195" i="2"/>
  <c r="E192" i="2"/>
  <c r="B190" i="2"/>
  <c r="C190" i="2" s="1"/>
  <c r="D187" i="2"/>
  <c r="E184" i="2"/>
  <c r="B182" i="2"/>
  <c r="C182" i="2" s="1"/>
  <c r="D179" i="2"/>
  <c r="E176" i="2"/>
  <c r="B174" i="2"/>
  <c r="C174" i="2" s="1"/>
  <c r="D171" i="2"/>
  <c r="E168" i="2"/>
  <c r="B166" i="2"/>
  <c r="C166" i="2" s="1"/>
  <c r="D163" i="2"/>
  <c r="E160" i="2"/>
  <c r="B158" i="2"/>
  <c r="C158" i="2" s="1"/>
  <c r="D155" i="2"/>
  <c r="E152" i="2"/>
  <c r="B150" i="2"/>
  <c r="C150" i="2" s="1"/>
  <c r="D147" i="2"/>
  <c r="E144" i="2"/>
  <c r="B142" i="2"/>
  <c r="C142" i="2" s="1"/>
  <c r="D139" i="2"/>
  <c r="E136" i="2"/>
  <c r="B134" i="2"/>
  <c r="C134" i="2" s="1"/>
  <c r="D131" i="2"/>
  <c r="D129" i="2"/>
  <c r="D127" i="2"/>
  <c r="D125" i="2"/>
  <c r="D123" i="2"/>
  <c r="D121" i="2"/>
  <c r="D119" i="2"/>
  <c r="D117" i="2"/>
  <c r="D115" i="2"/>
  <c r="D113" i="2"/>
  <c r="D111" i="2"/>
  <c r="D109" i="2"/>
  <c r="D107" i="2"/>
  <c r="D105" i="2"/>
  <c r="D103" i="2"/>
  <c r="D101" i="2"/>
  <c r="D99" i="2"/>
  <c r="D97" i="2"/>
  <c r="D95" i="2"/>
  <c r="D298" i="2"/>
  <c r="E295" i="2"/>
  <c r="B293" i="2"/>
  <c r="C293" i="2" s="1"/>
  <c r="D290" i="2"/>
  <c r="E287" i="2"/>
  <c r="B285" i="2"/>
  <c r="C285" i="2" s="1"/>
  <c r="D282" i="2"/>
  <c r="E279" i="2"/>
  <c r="B277" i="2"/>
  <c r="C277" i="2" s="1"/>
  <c r="D274" i="2"/>
  <c r="E271" i="2"/>
  <c r="B269" i="2"/>
  <c r="C269" i="2" s="1"/>
  <c r="D266" i="2"/>
  <c r="E263" i="2"/>
  <c r="B261" i="2"/>
  <c r="C261" i="2" s="1"/>
  <c r="D258" i="2"/>
  <c r="E255" i="2"/>
  <c r="B253" i="2"/>
  <c r="C253" i="2" s="1"/>
  <c r="D250" i="2"/>
  <c r="E247" i="2"/>
  <c r="B245" i="2"/>
  <c r="C245" i="2" s="1"/>
  <c r="D242" i="2"/>
  <c r="E239" i="2"/>
  <c r="B237" i="2"/>
  <c r="C237" i="2" s="1"/>
  <c r="D234" i="2"/>
  <c r="E231" i="2"/>
  <c r="B229" i="2"/>
  <c r="C229" i="2" s="1"/>
  <c r="D226" i="2"/>
  <c r="E223" i="2"/>
  <c r="B221" i="2"/>
  <c r="C221" i="2" s="1"/>
  <c r="D218" i="2"/>
  <c r="E215" i="2"/>
  <c r="B213" i="2"/>
  <c r="C213" i="2" s="1"/>
  <c r="D210" i="2"/>
  <c r="E207" i="2"/>
  <c r="B205" i="2"/>
  <c r="C205" i="2" s="1"/>
  <c r="D202" i="2"/>
  <c r="E199" i="2"/>
  <c r="B197" i="2"/>
  <c r="C197" i="2" s="1"/>
  <c r="D194" i="2"/>
  <c r="E191" i="2"/>
  <c r="B189" i="2"/>
  <c r="C189" i="2" s="1"/>
  <c r="D186" i="2"/>
  <c r="E183" i="2"/>
  <c r="B181" i="2"/>
  <c r="C181" i="2" s="1"/>
  <c r="D178" i="2"/>
  <c r="E175" i="2"/>
  <c r="B173" i="2"/>
  <c r="C173" i="2" s="1"/>
  <c r="D170" i="2"/>
  <c r="E167" i="2"/>
  <c r="B165" i="2"/>
  <c r="C165" i="2" s="1"/>
  <c r="D162" i="2"/>
  <c r="E159" i="2"/>
  <c r="B157" i="2"/>
  <c r="C157" i="2" s="1"/>
  <c r="D154" i="2"/>
  <c r="E151" i="2"/>
  <c r="B149" i="2"/>
  <c r="C149" i="2" s="1"/>
  <c r="D146" i="2"/>
  <c r="E143" i="2"/>
  <c r="B141" i="2"/>
  <c r="C141" i="2" s="1"/>
  <c r="D138" i="2"/>
  <c r="E135" i="2"/>
  <c r="B133" i="2"/>
  <c r="C133" i="2" s="1"/>
  <c r="E130" i="2"/>
  <c r="E128" i="2"/>
  <c r="E126" i="2"/>
  <c r="E124" i="2"/>
  <c r="E122" i="2"/>
  <c r="E120" i="2"/>
  <c r="E118" i="2"/>
  <c r="E116" i="2"/>
  <c r="E114" i="2"/>
  <c r="E112" i="2"/>
  <c r="E110" i="2"/>
  <c r="E108" i="2"/>
  <c r="E106" i="2"/>
  <c r="E104" i="2"/>
  <c r="E102" i="2"/>
  <c r="E100" i="2"/>
  <c r="E98" i="2"/>
  <c r="E96" i="2"/>
  <c r="E94" i="2"/>
  <c r="E92" i="2"/>
  <c r="E90" i="2"/>
  <c r="B298" i="2"/>
  <c r="C298" i="2" s="1"/>
  <c r="D295" i="2"/>
  <c r="E292" i="2"/>
  <c r="B290" i="2"/>
  <c r="C290" i="2" s="1"/>
  <c r="D287" i="2"/>
  <c r="E284" i="2"/>
  <c r="B282" i="2"/>
  <c r="C282" i="2" s="1"/>
  <c r="D279" i="2"/>
  <c r="E276" i="2"/>
  <c r="B274" i="2"/>
  <c r="C274" i="2" s="1"/>
  <c r="D271" i="2"/>
  <c r="E268" i="2"/>
  <c r="B266" i="2"/>
  <c r="C266" i="2" s="1"/>
  <c r="D263" i="2"/>
  <c r="E260" i="2"/>
  <c r="B258" i="2"/>
  <c r="C258" i="2" s="1"/>
  <c r="D255" i="2"/>
  <c r="E252" i="2"/>
  <c r="B250" i="2"/>
  <c r="C250" i="2" s="1"/>
  <c r="D247" i="2"/>
  <c r="E244" i="2"/>
  <c r="B242" i="2"/>
  <c r="C242" i="2" s="1"/>
  <c r="D239" i="2"/>
  <c r="E236" i="2"/>
  <c r="B234" i="2"/>
  <c r="C234" i="2" s="1"/>
  <c r="D231" i="2"/>
  <c r="E228" i="2"/>
  <c r="B226" i="2"/>
  <c r="C226" i="2" s="1"/>
  <c r="D223" i="2"/>
  <c r="E220" i="2"/>
  <c r="B218" i="2"/>
  <c r="C218" i="2" s="1"/>
  <c r="D215" i="2"/>
  <c r="E212" i="2"/>
  <c r="B210" i="2"/>
  <c r="C210" i="2" s="1"/>
  <c r="D207" i="2"/>
  <c r="E204" i="2"/>
  <c r="B202" i="2"/>
  <c r="C202" i="2" s="1"/>
  <c r="D199" i="2"/>
  <c r="E196" i="2"/>
  <c r="B194" i="2"/>
  <c r="C194" i="2" s="1"/>
  <c r="D191" i="2"/>
  <c r="E188" i="2"/>
  <c r="B186" i="2"/>
  <c r="C186" i="2" s="1"/>
  <c r="D183" i="2"/>
  <c r="E180" i="2"/>
  <c r="B178" i="2"/>
  <c r="C178" i="2" s="1"/>
  <c r="D175" i="2"/>
  <c r="E172" i="2"/>
  <c r="B170" i="2"/>
  <c r="C170" i="2" s="1"/>
  <c r="D167" i="2"/>
  <c r="E164" i="2"/>
  <c r="B162" i="2"/>
  <c r="C162" i="2" s="1"/>
  <c r="D159" i="2"/>
  <c r="E156" i="2"/>
  <c r="B154" i="2"/>
  <c r="C154" i="2" s="1"/>
  <c r="D151" i="2"/>
  <c r="E148" i="2"/>
  <c r="B146" i="2"/>
  <c r="C146" i="2" s="1"/>
  <c r="D143" i="2"/>
  <c r="E140" i="2"/>
  <c r="B138" i="2"/>
  <c r="C138" i="2" s="1"/>
  <c r="D135" i="2"/>
  <c r="E132" i="2"/>
  <c r="D130" i="2"/>
  <c r="D128" i="2"/>
  <c r="D126" i="2"/>
  <c r="D124" i="2"/>
  <c r="D122" i="2"/>
  <c r="D120" i="2"/>
  <c r="D118" i="2"/>
  <c r="D116" i="2"/>
  <c r="D114" i="2"/>
  <c r="D112" i="2"/>
  <c r="D110" i="2"/>
  <c r="D108" i="2"/>
  <c r="D106" i="2"/>
  <c r="D104" i="2"/>
  <c r="D102" i="2"/>
  <c r="D100" i="2"/>
  <c r="D98" i="2"/>
  <c r="D96" i="2"/>
  <c r="B299" i="2"/>
  <c r="C299" i="2" s="1"/>
  <c r="D292" i="2"/>
  <c r="D285" i="2"/>
  <c r="E277" i="2"/>
  <c r="B271" i="2"/>
  <c r="C271" i="2" s="1"/>
  <c r="B264" i="2"/>
  <c r="C264" i="2" s="1"/>
  <c r="D256" i="2"/>
  <c r="E249" i="2"/>
  <c r="E242" i="2"/>
  <c r="B235" i="2"/>
  <c r="C235" i="2" s="1"/>
  <c r="D228" i="2"/>
  <c r="D221" i="2"/>
  <c r="E213" i="2"/>
  <c r="B207" i="2"/>
  <c r="C207" i="2" s="1"/>
  <c r="B200" i="2"/>
  <c r="C200" i="2" s="1"/>
  <c r="D192" i="2"/>
  <c r="E185" i="2"/>
  <c r="E178" i="2"/>
  <c r="B171" i="2"/>
  <c r="C171" i="2" s="1"/>
  <c r="D164" i="2"/>
  <c r="D157" i="2"/>
  <c r="E149" i="2"/>
  <c r="B143" i="2"/>
  <c r="C143" i="2" s="1"/>
  <c r="B136" i="2"/>
  <c r="C136" i="2" s="1"/>
  <c r="B119" i="2"/>
  <c r="C119" i="2" s="1"/>
  <c r="B115" i="2"/>
  <c r="C115" i="2" s="1"/>
  <c r="B111" i="2"/>
  <c r="C111" i="2" s="1"/>
  <c r="B107" i="2"/>
  <c r="C107" i="2" s="1"/>
  <c r="B103" i="2"/>
  <c r="C103" i="2" s="1"/>
  <c r="B99" i="2"/>
  <c r="C99" i="2" s="1"/>
  <c r="B95" i="2"/>
  <c r="C95" i="2" s="1"/>
  <c r="D89" i="2"/>
  <c r="D87" i="2"/>
  <c r="D85" i="2"/>
  <c r="D83" i="2"/>
  <c r="D81" i="2"/>
  <c r="D79" i="2"/>
  <c r="D77" i="2"/>
  <c r="D75" i="2"/>
  <c r="D73" i="2"/>
  <c r="D71" i="2"/>
  <c r="D69" i="2"/>
  <c r="D67" i="2"/>
  <c r="D65" i="2"/>
  <c r="D63" i="2"/>
  <c r="D61" i="2"/>
  <c r="D59" i="2"/>
  <c r="D57" i="2"/>
  <c r="D55" i="2"/>
  <c r="D53" i="2"/>
  <c r="E298" i="2"/>
  <c r="B291" i="2"/>
  <c r="C291" i="2" s="1"/>
  <c r="D284" i="2"/>
  <c r="D277" i="2"/>
  <c r="E269" i="2"/>
  <c r="B263" i="2"/>
  <c r="C263" i="2" s="1"/>
  <c r="B256" i="2"/>
  <c r="C256" i="2" s="1"/>
  <c r="D248" i="2"/>
  <c r="E241" i="2"/>
  <c r="E234" i="2"/>
  <c r="B227" i="2"/>
  <c r="C227" i="2" s="1"/>
  <c r="D220" i="2"/>
  <c r="D213" i="2"/>
  <c r="E205" i="2"/>
  <c r="B199" i="2"/>
  <c r="C199" i="2" s="1"/>
  <c r="B192" i="2"/>
  <c r="C192" i="2" s="1"/>
  <c r="D184" i="2"/>
  <c r="E177" i="2"/>
  <c r="E170" i="2"/>
  <c r="B163" i="2"/>
  <c r="C163" i="2" s="1"/>
  <c r="D156" i="2"/>
  <c r="D149" i="2"/>
  <c r="E141" i="2"/>
  <c r="B135" i="2"/>
  <c r="C135" i="2" s="1"/>
  <c r="B129" i="2"/>
  <c r="C129" i="2" s="1"/>
  <c r="D94" i="2"/>
  <c r="B92" i="2"/>
  <c r="C92" i="2" s="1"/>
  <c r="E297" i="2"/>
  <c r="E290" i="2"/>
  <c r="B283" i="2"/>
  <c r="C283" i="2" s="1"/>
  <c r="D276" i="2"/>
  <c r="D269" i="2"/>
  <c r="E261" i="2"/>
  <c r="B255" i="2"/>
  <c r="C255" i="2" s="1"/>
  <c r="B248" i="2"/>
  <c r="C248" i="2" s="1"/>
  <c r="D240" i="2"/>
  <c r="E233" i="2"/>
  <c r="E226" i="2"/>
  <c r="B219" i="2"/>
  <c r="C219" i="2" s="1"/>
  <c r="D212" i="2"/>
  <c r="D205" i="2"/>
  <c r="E197" i="2"/>
  <c r="B191" i="2"/>
  <c r="C191" i="2" s="1"/>
  <c r="B184" i="2"/>
  <c r="C184" i="2" s="1"/>
  <c r="D176" i="2"/>
  <c r="E169" i="2"/>
  <c r="E162" i="2"/>
  <c r="B155" i="2"/>
  <c r="C155" i="2" s="1"/>
  <c r="D148" i="2"/>
  <c r="D141" i="2"/>
  <c r="E133" i="2"/>
  <c r="B123" i="2"/>
  <c r="C123" i="2" s="1"/>
  <c r="B118" i="2"/>
  <c r="C118" i="2" s="1"/>
  <c r="B114" i="2"/>
  <c r="C114" i="2" s="1"/>
  <c r="B110" i="2"/>
  <c r="C110" i="2" s="1"/>
  <c r="B106" i="2"/>
  <c r="C106" i="2" s="1"/>
  <c r="B102" i="2"/>
  <c r="C102" i="2" s="1"/>
  <c r="B98" i="2"/>
  <c r="C98" i="2" s="1"/>
  <c r="D91" i="2"/>
  <c r="B89" i="2"/>
  <c r="C89" i="2" s="1"/>
  <c r="B87" i="2"/>
  <c r="C87" i="2" s="1"/>
  <c r="B85" i="2"/>
  <c r="C85" i="2" s="1"/>
  <c r="B83" i="2"/>
  <c r="C83" i="2" s="1"/>
  <c r="B81" i="2"/>
  <c r="C81" i="2" s="1"/>
  <c r="B79" i="2"/>
  <c r="C79" i="2" s="1"/>
  <c r="B77" i="2"/>
  <c r="C77" i="2" s="1"/>
  <c r="B75" i="2"/>
  <c r="C75" i="2" s="1"/>
  <c r="B73" i="2"/>
  <c r="C73" i="2" s="1"/>
  <c r="B71" i="2"/>
  <c r="C71" i="2" s="1"/>
  <c r="B69" i="2"/>
  <c r="C69" i="2" s="1"/>
  <c r="B67" i="2"/>
  <c r="C67" i="2" s="1"/>
  <c r="B65" i="2"/>
  <c r="C65" i="2" s="1"/>
  <c r="B63" i="2"/>
  <c r="C63" i="2" s="1"/>
  <c r="B61" i="2"/>
  <c r="C61" i="2" s="1"/>
  <c r="B59" i="2"/>
  <c r="C59" i="2" s="1"/>
  <c r="B57" i="2"/>
  <c r="C57" i="2" s="1"/>
  <c r="B55" i="2"/>
  <c r="C55" i="2" s="1"/>
  <c r="B53" i="2"/>
  <c r="C53" i="2" s="1"/>
  <c r="B51" i="2"/>
  <c r="C51" i="2" s="1"/>
  <c r="B49" i="2"/>
  <c r="C49" i="2" s="1"/>
  <c r="B47" i="2"/>
  <c r="C47" i="2" s="1"/>
  <c r="B45" i="2"/>
  <c r="C45" i="2" s="1"/>
  <c r="B43" i="2"/>
  <c r="C43" i="2" s="1"/>
  <c r="B41" i="2"/>
  <c r="C41" i="2" s="1"/>
  <c r="B39" i="2"/>
  <c r="C39" i="2" s="1"/>
  <c r="B37" i="2"/>
  <c r="C37" i="2" s="1"/>
  <c r="B35" i="2"/>
  <c r="C35" i="2" s="1"/>
  <c r="B33" i="2"/>
  <c r="C33" i="2" s="1"/>
  <c r="B31" i="2"/>
  <c r="C31" i="2" s="1"/>
  <c r="B29" i="2"/>
  <c r="C29" i="2" s="1"/>
  <c r="B295" i="2"/>
  <c r="C295" i="2" s="1"/>
  <c r="B288" i="2"/>
  <c r="C288" i="2" s="1"/>
  <c r="D280" i="2"/>
  <c r="E273" i="2"/>
  <c r="E266" i="2"/>
  <c r="B259" i="2"/>
  <c r="C259" i="2" s="1"/>
  <c r="D252" i="2"/>
  <c r="D245" i="2"/>
  <c r="E237" i="2"/>
  <c r="B231" i="2"/>
  <c r="C231" i="2" s="1"/>
  <c r="B224" i="2"/>
  <c r="C224" i="2" s="1"/>
  <c r="D216" i="2"/>
  <c r="E209" i="2"/>
  <c r="E202" i="2"/>
  <c r="B195" i="2"/>
  <c r="C195" i="2" s="1"/>
  <c r="D188" i="2"/>
  <c r="D181" i="2"/>
  <c r="E173" i="2"/>
  <c r="B167" i="2"/>
  <c r="C167" i="2" s="1"/>
  <c r="B160" i="2"/>
  <c r="C160" i="2" s="1"/>
  <c r="D152" i="2"/>
  <c r="E145" i="2"/>
  <c r="E138" i="2"/>
  <c r="B121" i="2"/>
  <c r="C121" i="2" s="1"/>
  <c r="D90" i="2"/>
  <c r="E293" i="2"/>
  <c r="B287" i="2"/>
  <c r="C287" i="2" s="1"/>
  <c r="B280" i="2"/>
  <c r="C280" i="2" s="1"/>
  <c r="D272" i="2"/>
  <c r="E265" i="2"/>
  <c r="E258" i="2"/>
  <c r="B251" i="2"/>
  <c r="C251" i="2" s="1"/>
  <c r="D244" i="2"/>
  <c r="D237" i="2"/>
  <c r="E229" i="2"/>
  <c r="B223" i="2"/>
  <c r="C223" i="2" s="1"/>
  <c r="B216" i="2"/>
  <c r="C216" i="2" s="1"/>
  <c r="D208" i="2"/>
  <c r="E201" i="2"/>
  <c r="E194" i="2"/>
  <c r="B187" i="2"/>
  <c r="C187" i="2" s="1"/>
  <c r="D180" i="2"/>
  <c r="D173" i="2"/>
  <c r="E165" i="2"/>
  <c r="B159" i="2"/>
  <c r="C159" i="2" s="1"/>
  <c r="B152" i="2"/>
  <c r="C152" i="2" s="1"/>
  <c r="D144" i="2"/>
  <c r="E137" i="2"/>
  <c r="B131" i="2"/>
  <c r="C131" i="2" s="1"/>
  <c r="B116" i="2"/>
  <c r="C116" i="2" s="1"/>
  <c r="B112" i="2"/>
  <c r="C112" i="2" s="1"/>
  <c r="B108" i="2"/>
  <c r="C108" i="2" s="1"/>
  <c r="B104" i="2"/>
  <c r="C104" i="2" s="1"/>
  <c r="B100" i="2"/>
  <c r="C100" i="2" s="1"/>
  <c r="B96" i="2"/>
  <c r="C96" i="2" s="1"/>
  <c r="B93" i="2"/>
  <c r="C93" i="2" s="1"/>
  <c r="B88" i="2"/>
  <c r="C88" i="2" s="1"/>
  <c r="B86" i="2"/>
  <c r="C86" i="2" s="1"/>
  <c r="B84" i="2"/>
  <c r="C84" i="2" s="1"/>
  <c r="B82" i="2"/>
  <c r="C82" i="2" s="1"/>
  <c r="B80" i="2"/>
  <c r="C80" i="2" s="1"/>
  <c r="B78" i="2"/>
  <c r="C78" i="2" s="1"/>
  <c r="B76" i="2"/>
  <c r="C76" i="2" s="1"/>
  <c r="B74" i="2"/>
  <c r="C74" i="2" s="1"/>
  <c r="B72" i="2"/>
  <c r="C72" i="2" s="1"/>
  <c r="B70" i="2"/>
  <c r="C70" i="2" s="1"/>
  <c r="B68" i="2"/>
  <c r="C68" i="2" s="1"/>
  <c r="B66" i="2"/>
  <c r="C66" i="2" s="1"/>
  <c r="B64" i="2"/>
  <c r="C64" i="2" s="1"/>
  <c r="B62" i="2"/>
  <c r="C62" i="2" s="1"/>
  <c r="B60" i="2"/>
  <c r="C60" i="2" s="1"/>
  <c r="B58" i="2"/>
  <c r="C58" i="2" s="1"/>
  <c r="B56" i="2"/>
  <c r="C56" i="2" s="1"/>
  <c r="B54" i="2"/>
  <c r="C54" i="2" s="1"/>
  <c r="B52" i="2"/>
  <c r="C52" i="2" s="1"/>
  <c r="B50" i="2"/>
  <c r="C50" i="2" s="1"/>
  <c r="B48" i="2"/>
  <c r="C48" i="2" s="1"/>
  <c r="B46" i="2"/>
  <c r="C46" i="2" s="1"/>
  <c r="B44" i="2"/>
  <c r="C44" i="2" s="1"/>
  <c r="B42" i="2"/>
  <c r="C42" i="2" s="1"/>
  <c r="B40" i="2"/>
  <c r="C40" i="2" s="1"/>
  <c r="B38" i="2"/>
  <c r="C38" i="2" s="1"/>
  <c r="B36" i="2"/>
  <c r="C36" i="2" s="1"/>
  <c r="B34" i="2"/>
  <c r="C34" i="2" s="1"/>
  <c r="B32" i="2"/>
  <c r="C32" i="2" s="1"/>
  <c r="B30" i="2"/>
  <c r="C30" i="2" s="1"/>
  <c r="B28" i="2"/>
  <c r="C28" i="2" s="1"/>
  <c r="B26" i="2"/>
  <c r="C26" i="2" s="1"/>
  <c r="B24" i="2"/>
  <c r="C24" i="2" s="1"/>
  <c r="B22" i="2"/>
  <c r="C22" i="2" s="1"/>
  <c r="B20" i="2"/>
  <c r="C20" i="2" s="1"/>
  <c r="B18" i="2"/>
  <c r="C18" i="2" s="1"/>
  <c r="B16" i="2"/>
  <c r="C16" i="2" s="1"/>
  <c r="B14" i="2"/>
  <c r="C14" i="2" s="1"/>
  <c r="B12" i="2"/>
  <c r="C12" i="2" s="1"/>
  <c r="B10" i="2"/>
  <c r="C10" i="2" s="1"/>
  <c r="B8" i="2"/>
  <c r="C8" i="2" s="1"/>
  <c r="B6" i="2"/>
  <c r="C6" i="2" s="1"/>
  <c r="B4" i="2"/>
  <c r="C4" i="2" s="1"/>
  <c r="B2" i="2"/>
  <c r="C2" i="2" s="1"/>
  <c r="D296" i="2"/>
  <c r="B279" i="2"/>
  <c r="C279" i="2" s="1"/>
  <c r="D260" i="2"/>
  <c r="B240" i="2"/>
  <c r="C240" i="2" s="1"/>
  <c r="E221" i="2"/>
  <c r="B203" i="2"/>
  <c r="C203" i="2" s="1"/>
  <c r="B183" i="2"/>
  <c r="C183" i="2" s="1"/>
  <c r="D165" i="2"/>
  <c r="E146" i="2"/>
  <c r="B105" i="2"/>
  <c r="C105" i="2" s="1"/>
  <c r="B94" i="2"/>
  <c r="C94" i="2" s="1"/>
  <c r="E87" i="2"/>
  <c r="D82" i="2"/>
  <c r="E76" i="2"/>
  <c r="E71" i="2"/>
  <c r="D66" i="2"/>
  <c r="E60" i="2"/>
  <c r="E55" i="2"/>
  <c r="E50" i="2"/>
  <c r="E46" i="2"/>
  <c r="E42" i="2"/>
  <c r="E38" i="2"/>
  <c r="E34" i="2"/>
  <c r="E30" i="2"/>
  <c r="B27" i="2"/>
  <c r="C27" i="2" s="1"/>
  <c r="E23" i="2"/>
  <c r="E20" i="2"/>
  <c r="D17" i="2"/>
  <c r="D14" i="2"/>
  <c r="B11" i="2"/>
  <c r="C11" i="2" s="1"/>
  <c r="E7" i="2"/>
  <c r="E4" i="2"/>
  <c r="B296" i="2"/>
  <c r="C296" i="2" s="1"/>
  <c r="B275" i="2"/>
  <c r="C275" i="2" s="1"/>
  <c r="E257" i="2"/>
  <c r="B239" i="2"/>
  <c r="C239" i="2" s="1"/>
  <c r="E218" i="2"/>
  <c r="D200" i="2"/>
  <c r="E181" i="2"/>
  <c r="E161" i="2"/>
  <c r="B144" i="2"/>
  <c r="C144" i="2" s="1"/>
  <c r="B127" i="2"/>
  <c r="C127" i="2" s="1"/>
  <c r="D93" i="2"/>
  <c r="E86" i="2"/>
  <c r="E81" i="2"/>
  <c r="D76" i="2"/>
  <c r="E70" i="2"/>
  <c r="E65" i="2"/>
  <c r="D60" i="2"/>
  <c r="E54" i="2"/>
  <c r="D50" i="2"/>
  <c r="D46" i="2"/>
  <c r="D42" i="2"/>
  <c r="D38" i="2"/>
  <c r="D34" i="2"/>
  <c r="D30" i="2"/>
  <c r="E26" i="2"/>
  <c r="D23" i="2"/>
  <c r="D20" i="2"/>
  <c r="B17" i="2"/>
  <c r="C17" i="2" s="1"/>
  <c r="E13" i="2"/>
  <c r="E10" i="2"/>
  <c r="D7" i="2"/>
  <c r="D4" i="2"/>
  <c r="D293" i="2"/>
  <c r="E274" i="2"/>
  <c r="E253" i="2"/>
  <c r="D236" i="2"/>
  <c r="E217" i="2"/>
  <c r="D197" i="2"/>
  <c r="B179" i="2"/>
  <c r="C179" i="2" s="1"/>
  <c r="D160" i="2"/>
  <c r="D140" i="2"/>
  <c r="B125" i="2"/>
  <c r="C125" i="2" s="1"/>
  <c r="B113" i="2"/>
  <c r="C113" i="2" s="1"/>
  <c r="D92" i="2"/>
  <c r="D86" i="2"/>
  <c r="E80" i="2"/>
  <c r="E75" i="2"/>
  <c r="D70" i="2"/>
  <c r="E64" i="2"/>
  <c r="E59" i="2"/>
  <c r="D54" i="2"/>
  <c r="E49" i="2"/>
  <c r="E45" i="2"/>
  <c r="E41" i="2"/>
  <c r="E37" i="2"/>
  <c r="E33" i="2"/>
  <c r="E29" i="2"/>
  <c r="D26" i="2"/>
  <c r="B23" i="2"/>
  <c r="C23" i="2" s="1"/>
  <c r="E19" i="2"/>
  <c r="E16" i="2"/>
  <c r="D13" i="2"/>
  <c r="D10" i="2"/>
  <c r="B7" i="2"/>
  <c r="C7" i="2" s="1"/>
  <c r="E3" i="2"/>
  <c r="E285" i="2"/>
  <c r="B267" i="2"/>
  <c r="C267" i="2" s="1"/>
  <c r="B247" i="2"/>
  <c r="C247" i="2" s="1"/>
  <c r="D229" i="2"/>
  <c r="E210" i="2"/>
  <c r="E189" i="2"/>
  <c r="D172" i="2"/>
  <c r="E153" i="2"/>
  <c r="D133" i="2"/>
  <c r="B109" i="2"/>
  <c r="C109" i="2" s="1"/>
  <c r="B90" i="2"/>
  <c r="C90" i="2" s="1"/>
  <c r="D84" i="2"/>
  <c r="E78" i="2"/>
  <c r="E73" i="2"/>
  <c r="D68" i="2"/>
  <c r="E62" i="2"/>
  <c r="E57" i="2"/>
  <c r="D52" i="2"/>
  <c r="D48" i="2"/>
  <c r="D44" i="2"/>
  <c r="D40" i="2"/>
  <c r="D36" i="2"/>
  <c r="D32" i="2"/>
  <c r="D28" i="2"/>
  <c r="B25" i="2"/>
  <c r="C25" i="2" s="1"/>
  <c r="E21" i="2"/>
  <c r="E18" i="2"/>
  <c r="D15" i="2"/>
  <c r="D12" i="2"/>
  <c r="B9" i="2"/>
  <c r="C9" i="2" s="1"/>
  <c r="E5" i="2"/>
  <c r="E2" i="2"/>
  <c r="E282" i="2"/>
  <c r="D264" i="2"/>
  <c r="E245" i="2"/>
  <c r="E225" i="2"/>
  <c r="B208" i="2"/>
  <c r="C208" i="2" s="1"/>
  <c r="D189" i="2"/>
  <c r="D168" i="2"/>
  <c r="B151" i="2"/>
  <c r="C151" i="2" s="1"/>
  <c r="D132" i="2"/>
  <c r="B97" i="2"/>
  <c r="C97" i="2" s="1"/>
  <c r="E88" i="2"/>
  <c r="E83" i="2"/>
  <c r="D78" i="2"/>
  <c r="E72" i="2"/>
  <c r="E67" i="2"/>
  <c r="D62" i="2"/>
  <c r="E56" i="2"/>
  <c r="E51" i="2"/>
  <c r="E47" i="2"/>
  <c r="E43" i="2"/>
  <c r="E39" i="2"/>
  <c r="E35" i="2"/>
  <c r="E31" i="2"/>
  <c r="E27" i="2"/>
  <c r="E24" i="2"/>
  <c r="D21" i="2"/>
  <c r="D18" i="2"/>
  <c r="B15" i="2"/>
  <c r="C15" i="2" s="1"/>
  <c r="E11" i="2"/>
  <c r="E8" i="2"/>
  <c r="D5" i="2"/>
  <c r="D2" i="2"/>
  <c r="E289" i="2"/>
  <c r="B243" i="2"/>
  <c r="C243" i="2" s="1"/>
  <c r="E193" i="2"/>
  <c r="B139" i="2"/>
  <c r="C139" i="2" s="1"/>
  <c r="E84" i="2"/>
  <c r="E69" i="2"/>
  <c r="D56" i="2"/>
  <c r="E44" i="2"/>
  <c r="D33" i="2"/>
  <c r="D24" i="2"/>
  <c r="E15" i="2"/>
  <c r="E6" i="2"/>
  <c r="B272" i="2"/>
  <c r="C272" i="2" s="1"/>
  <c r="D64" i="2"/>
  <c r="E40" i="2"/>
  <c r="B21" i="2"/>
  <c r="C21" i="2" s="1"/>
  <c r="E12" i="2"/>
  <c r="D288" i="2"/>
  <c r="D232" i="2"/>
  <c r="E186" i="2"/>
  <c r="D136" i="2"/>
  <c r="B101" i="2"/>
  <c r="C101" i="2" s="1"/>
  <c r="E82" i="2"/>
  <c r="E68" i="2"/>
  <c r="E53" i="2"/>
  <c r="D43" i="2"/>
  <c r="E32" i="2"/>
  <c r="E22" i="2"/>
  <c r="E14" i="2"/>
  <c r="D6" i="2"/>
  <c r="D224" i="2"/>
  <c r="E79" i="2"/>
  <c r="D51" i="2"/>
  <c r="D29" i="2"/>
  <c r="D3" i="2"/>
  <c r="E281" i="2"/>
  <c r="B232" i="2"/>
  <c r="C232" i="2" s="1"/>
  <c r="B176" i="2"/>
  <c r="C176" i="2" s="1"/>
  <c r="D80" i="2"/>
  <c r="E66" i="2"/>
  <c r="E52" i="2"/>
  <c r="D41" i="2"/>
  <c r="D31" i="2"/>
  <c r="D22" i="2"/>
  <c r="B13" i="2"/>
  <c r="C13" i="2" s="1"/>
  <c r="B5" i="2"/>
  <c r="C5" i="2" s="1"/>
  <c r="B175" i="2"/>
  <c r="C175" i="2" s="1"/>
  <c r="D261" i="2"/>
  <c r="B211" i="2"/>
  <c r="C211" i="2" s="1"/>
  <c r="E157" i="2"/>
  <c r="B117" i="2"/>
  <c r="C117" i="2" s="1"/>
  <c r="B91" i="2"/>
  <c r="C91" i="2" s="1"/>
  <c r="E74" i="2"/>
  <c r="E61" i="2"/>
  <c r="E48" i="2"/>
  <c r="D37" i="2"/>
  <c r="D27" i="2"/>
  <c r="B19" i="2"/>
  <c r="C19" i="2" s="1"/>
  <c r="E9" i="2"/>
  <c r="E250" i="2"/>
  <c r="B147" i="2"/>
  <c r="C147" i="2" s="1"/>
  <c r="D72" i="2"/>
  <c r="D45" i="2"/>
  <c r="D25" i="2"/>
  <c r="D8" i="2"/>
  <c r="D253" i="2"/>
  <c r="D204" i="2"/>
  <c r="E154" i="2"/>
  <c r="D88" i="2"/>
  <c r="D74" i="2"/>
  <c r="E58" i="2"/>
  <c r="D47" i="2"/>
  <c r="E36" i="2"/>
  <c r="E25" i="2"/>
  <c r="E17" i="2"/>
  <c r="D9" i="2"/>
  <c r="D196" i="2"/>
  <c r="E85" i="2"/>
  <c r="D58" i="2"/>
  <c r="D35" i="2"/>
  <c r="D16" i="2"/>
  <c r="D268" i="2"/>
  <c r="D39" i="2"/>
  <c r="B215" i="2"/>
  <c r="C215" i="2" s="1"/>
  <c r="E28" i="2"/>
  <c r="B168" i="2"/>
  <c r="C168" i="2" s="1"/>
  <c r="D19" i="2"/>
  <c r="D11" i="2"/>
  <c r="B3" i="2"/>
  <c r="C3" i="2" s="1"/>
  <c r="E77" i="2"/>
  <c r="E63" i="2"/>
  <c r="D49" i="2"/>
</calcChain>
</file>

<file path=xl/sharedStrings.xml><?xml version="1.0" encoding="utf-8"?>
<sst xmlns="http://schemas.openxmlformats.org/spreadsheetml/2006/main" count="88" uniqueCount="30">
  <si>
    <t xml:space="preserve">  OR - Committee Members Evaluation</t>
  </si>
  <si>
    <t>Evaluee</t>
  </si>
  <si>
    <t>Field Visits
Entered</t>
  </si>
  <si>
    <t>FIELD VISITS  (30 pts)</t>
  </si>
  <si>
    <t>Field Visits Total
/30</t>
  </si>
  <si>
    <t>Meetings
Entered</t>
  </si>
  <si>
    <t>MEETINGS  (30 pts)</t>
  </si>
  <si>
    <t>Meetings Total
/30</t>
  </si>
  <si>
    <t>Tasks
Entered</t>
  </si>
  <si>
    <t>TASKS  (20 pts)</t>
  </si>
  <si>
    <t>Tasks Score</t>
  </si>
  <si>
    <t>Interaction
/10</t>
  </si>
  <si>
    <t>Respect Hierarchy
/10</t>
  </si>
  <si>
    <t>Bonus
/10</t>
  </si>
  <si>
    <t>TOTAL
/110</t>
  </si>
  <si>
    <t>%</t>
  </si>
  <si>
    <t>Grade</t>
  </si>
  <si>
    <t>Name</t>
  </si>
  <si>
    <t>T</t>
  </si>
  <si>
    <t>Q</t>
  </si>
  <si>
    <t>D</t>
  </si>
  <si>
    <t>Submission</t>
  </si>
  <si>
    <t>Quality</t>
  </si>
  <si>
    <t>Deadline</t>
  </si>
  <si>
    <t>Tasks Total</t>
  </si>
  <si>
    <t>N</t>
  </si>
  <si>
    <t>Committee</t>
  </si>
  <si>
    <t>Total</t>
  </si>
  <si>
    <t>GPA</t>
  </si>
  <si>
    <t>Gov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</si>
</sst>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i/>
      <sz val="8"/>
      <color rgb="FF1F3864"/>
      <name val="Arial"/>
      <charset val="1"/>
    </font>
    <font>
      <sz val="8"/>
      <color rgb="FF1F1F1F"/>
      <name val="Arial"/>
      <charset val="1"/>
    </font>
    <font>
      <sz val="11"/>
      <color theme="1"/>
      <name val="Calibri"/>
      <charset val="1"/>
    </font>
    <font>
      <b/>
      <sz val="9"/>
      <color rgb="FFFFFFFF"/>
      <name val="Arial"/>
      <charset val="1"/>
    </font>
    <font>
      <sz val="10"/>
      <color rgb="FF1F1F1F"/>
      <name val="Arial"/>
      <charset val="1"/>
    </font>
    <font>
      <b/>
      <sz val="10"/>
      <color rgb="FF1F1F1F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Calibri"/>
      <charset val="1"/>
    </font>
    <font>
      <b/>
      <sz val="12"/>
      <color rgb="FF000000"/>
      <name val="Calibri"/>
      <charset val="1"/>
    </font>
    <font>
      <b/>
      <sz val="8"/>
      <color rgb="FF1F1F1F"/>
      <name val="Arial"/>
      <family val="2"/>
    </font>
    <font>
      <b/>
      <sz val="10"/>
      <color rgb="FF1F1F1F"/>
      <name val="Arial"/>
      <family val="2"/>
    </font>
    <font>
      <b/>
      <sz val="12"/>
      <color rgb="FF1F1F1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5395"/>
        <bgColor rgb="FF1F3864"/>
      </patternFill>
    </fill>
    <fill>
      <patternFill patternType="solid">
        <fgColor rgb="FFBF8F00"/>
        <bgColor rgb="FF808000"/>
      </patternFill>
    </fill>
    <fill>
      <patternFill patternType="solid">
        <fgColor theme="3" tint="-0.249977111117893"/>
        <bgColor rgb="FF1F3864"/>
      </patternFill>
    </fill>
    <fill>
      <patternFill patternType="solid">
        <fgColor rgb="FFDDEBF7"/>
        <bgColor rgb="FFD9E2F3"/>
      </patternFill>
    </fill>
    <fill>
      <patternFill patternType="solid">
        <fgColor rgb="FFFFF2CC"/>
        <bgColor rgb="FFF3F9DF"/>
      </patternFill>
    </fill>
    <fill>
      <patternFill patternType="solid">
        <fgColor rgb="FFFFFFFF"/>
        <bgColor rgb="FFF7F9FC"/>
      </patternFill>
    </fill>
    <fill>
      <patternFill patternType="solid">
        <fgColor rgb="FFF2F2F2"/>
        <bgColor rgb="FFF7F9FC"/>
      </patternFill>
    </fill>
    <fill>
      <patternFill patternType="solid">
        <fgColor rgb="FFF3F9DF"/>
        <bgColor rgb="FFF2F2F2"/>
      </patternFill>
    </fill>
    <fill>
      <patternFill patternType="solid">
        <fgColor rgb="FFD9E2F3"/>
        <bgColor rgb="FFDDEBF7"/>
      </patternFill>
    </fill>
    <fill>
      <patternFill patternType="solid">
        <fgColor rgb="FFFCE4B4"/>
        <bgColor rgb="FFFFF2CC"/>
      </patternFill>
    </fill>
    <fill>
      <patternFill patternType="solid">
        <fgColor rgb="FFF7F9FC"/>
        <bgColor rgb="FFFFFFFF"/>
      </patternFill>
    </fill>
    <fill>
      <patternFill patternType="solid">
        <fgColor rgb="FF002060"/>
        <bgColor rgb="FF17375E"/>
      </patternFill>
    </fill>
  </fills>
  <borders count="5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7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 wrapText="1"/>
    </xf>
    <xf numFmtId="164" fontId="9" fillId="10" borderId="2" xfId="0" applyNumberFormat="1" applyFont="1" applyFill="1" applyBorder="1" applyAlignment="1">
      <alignment horizontal="center" vertical="center" wrapText="1"/>
    </xf>
    <xf numFmtId="164" fontId="10" fillId="11" borderId="2" xfId="0" applyNumberFormat="1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center"/>
    </xf>
    <xf numFmtId="0" fontId="12" fillId="1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15" fillId="7" borderId="2" xfId="0" applyNumberFormat="1" applyFont="1" applyFill="1" applyBorder="1" applyAlignment="1">
      <alignment horizontal="center" vertical="center" wrapText="1"/>
    </xf>
    <xf numFmtId="164" fontId="14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>
          <bgColor rgb="FFFCE4B4"/>
        </patternFill>
      </fill>
    </dxf>
    <dxf>
      <fill>
        <patternFill>
          <bgColor rgb="FFD9E2F3"/>
        </patternFill>
      </fill>
    </dxf>
    <dxf>
      <fill>
        <patternFill>
          <bgColor rgb="FFC6E0B4"/>
        </patternFill>
      </fill>
    </dxf>
    <dxf>
      <fill>
        <patternFill>
          <bgColor rgb="FFE8B589"/>
        </patternFill>
      </fill>
    </dxf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>
          <bgColor rgb="FFFCE4B4"/>
        </patternFill>
      </fill>
    </dxf>
    <dxf>
      <fill>
        <patternFill>
          <bgColor rgb="FFD9E2F3"/>
        </patternFill>
      </fill>
    </dxf>
    <dxf>
      <fill>
        <patternFill>
          <bgColor rgb="FFC6E0B4"/>
        </patternFill>
      </fill>
    </dxf>
    <dxf>
      <font>
        <color rgb="FF1E7E34"/>
      </font>
    </dxf>
    <dxf>
      <font>
        <color rgb="FFB8860B"/>
      </font>
    </dxf>
    <dxf>
      <font>
        <color rgb="FF6B21A8"/>
      </font>
    </dxf>
    <dxf>
      <font>
        <color rgb="FFB91C1C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F9FC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3F9DF"/>
      <rgbColor rgb="FFFCE4B4"/>
      <rgbColor rgb="FFC6E0B4"/>
      <rgbColor rgb="FFE8B589"/>
      <rgbColor rgb="FFD9E2F3"/>
      <rgbColor rgb="FFF8CBAD"/>
      <rgbColor rgb="FF3366FF"/>
      <rgbColor rgb="FF33CCCC"/>
      <rgbColor rgb="FF99CC00"/>
      <rgbColor rgb="FFFFD966"/>
      <rgbColor rgb="FFBF8F00"/>
      <rgbColor rgb="FFFF6600"/>
      <rgbColor rgb="FF666699"/>
      <rgbColor rgb="FF969696"/>
      <rgbColor rgb="FF17375E"/>
      <rgbColor rgb="FF339966"/>
      <rgbColor rgb="FF003300"/>
      <rgbColor rgb="FF1F1F1F"/>
      <rgbColor rgb="FF993300"/>
      <rgbColor rgb="FF993366"/>
      <rgbColor rgb="FF2E5395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91C1C"/>
      <color rgb="FF6B21A8"/>
      <color rgb="FFB8860B"/>
      <color rgb="FF1E7E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540"/>
  <sheetViews>
    <sheetView showGridLines="0" tabSelected="1" zoomScale="115" zoomScaleNormal="115" workbookViewId="0">
      <pane xSplit="1" ySplit="4" topLeftCell="B5" activePane="bottomRight" state="frozen"/>
      <selection pane="topRight" activeCell="AI1" sqref="AI1"/>
      <selection pane="bottomLeft" activeCell="A5" sqref="A5"/>
      <selection pane="bottomRight" activeCell="AK3" sqref="AK3:CR3"/>
    </sheetView>
  </sheetViews>
  <sheetFormatPr defaultColWidth="8.7109375" defaultRowHeight="15" outlineLevelCol="1" x14ac:dyDescent="0.25"/>
  <cols>
    <col min="1" max="1" width="26" customWidth="1"/>
    <col min="2" max="2" width="7" customWidth="1"/>
    <col min="3" max="17" width="9.28515625" customWidth="1"/>
    <col min="18" max="18" width="9" customWidth="1"/>
    <col min="19" max="19" width="7" customWidth="1"/>
    <col min="20" max="34" width="9.28515625" customWidth="1"/>
    <col min="35" max="36" width="9" customWidth="1"/>
    <col min="37" max="96" width="5.5703125" customWidth="1"/>
    <col min="97" max="97" width="11" customWidth="1"/>
    <col min="98" max="98" width="9" customWidth="1"/>
    <col min="99" max="100" width="10" customWidth="1"/>
    <col min="101" max="103" width="9" customWidth="1"/>
    <col min="104" max="106" width="8" customWidth="1"/>
    <col min="109" max="109" width="2" hidden="1" customWidth="1" outlineLevel="1"/>
    <col min="110" max="110" width="8.7109375" collapsed="1"/>
  </cols>
  <sheetData>
    <row r="1" spans="1:109" ht="25.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</row>
    <row r="2" spans="1:109" ht="30" customHeight="1" x14ac:dyDescent="0.25">
      <c r="A2" s="1" t="s">
        <v>1</v>
      </c>
      <c r="B2" s="24" t="s">
        <v>2</v>
      </c>
      <c r="C2" s="25" t="s">
        <v>3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4" t="s">
        <v>4</v>
      </c>
      <c r="S2" s="26" t="s">
        <v>5</v>
      </c>
      <c r="T2" s="27" t="s">
        <v>6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6" t="s">
        <v>7</v>
      </c>
      <c r="AJ2" s="28" t="s">
        <v>8</v>
      </c>
      <c r="AK2" s="29" t="s">
        <v>9</v>
      </c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 t="s">
        <v>10</v>
      </c>
      <c r="CT2" s="29"/>
      <c r="CU2" s="29"/>
      <c r="CV2" s="29"/>
      <c r="CW2" s="30" t="s">
        <v>11</v>
      </c>
      <c r="CX2" s="30" t="s">
        <v>12</v>
      </c>
      <c r="CY2" s="31" t="s">
        <v>13</v>
      </c>
      <c r="CZ2" s="32" t="s">
        <v>14</v>
      </c>
      <c r="DA2" s="32" t="s">
        <v>15</v>
      </c>
      <c r="DB2" s="32" t="s">
        <v>16</v>
      </c>
    </row>
    <row r="3" spans="1:109" ht="18" customHeight="1" x14ac:dyDescent="0.25">
      <c r="A3" s="2" t="s">
        <v>29</v>
      </c>
      <c r="B3" s="24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4"/>
      <c r="S3" s="24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6"/>
      <c r="AJ3" s="26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"/>
      <c r="CT3" s="3"/>
      <c r="CU3" s="3"/>
      <c r="CV3" s="3"/>
      <c r="CW3" s="30"/>
      <c r="CX3" s="30"/>
      <c r="CY3" s="30"/>
      <c r="CZ3" s="30"/>
      <c r="DA3" s="30"/>
      <c r="DB3" s="30"/>
    </row>
    <row r="4" spans="1:109" ht="19.5" customHeight="1" x14ac:dyDescent="0.25">
      <c r="A4" s="1" t="s">
        <v>17</v>
      </c>
      <c r="B4" s="24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24"/>
      <c r="S4" s="24"/>
      <c r="T4" s="5">
        <v>1</v>
      </c>
      <c r="U4" s="5">
        <v>2</v>
      </c>
      <c r="V4" s="5">
        <v>3</v>
      </c>
      <c r="W4" s="5">
        <v>4</v>
      </c>
      <c r="X4" s="5">
        <v>5</v>
      </c>
      <c r="Y4" s="5">
        <v>6</v>
      </c>
      <c r="Z4" s="5">
        <v>7</v>
      </c>
      <c r="AA4" s="5">
        <v>8</v>
      </c>
      <c r="AB4" s="5">
        <v>9</v>
      </c>
      <c r="AC4" s="5">
        <v>10</v>
      </c>
      <c r="AD4" s="5">
        <v>11</v>
      </c>
      <c r="AE4" s="5">
        <v>12</v>
      </c>
      <c r="AF4" s="5">
        <v>13</v>
      </c>
      <c r="AG4" s="5">
        <v>14</v>
      </c>
      <c r="AH4" s="5">
        <v>15</v>
      </c>
      <c r="AI4" s="26"/>
      <c r="AJ4" s="26"/>
      <c r="AK4" s="6" t="s">
        <v>18</v>
      </c>
      <c r="AL4" s="6" t="s">
        <v>19</v>
      </c>
      <c r="AM4" s="6" t="s">
        <v>20</v>
      </c>
      <c r="AN4" s="6" t="s">
        <v>18</v>
      </c>
      <c r="AO4" s="6" t="s">
        <v>19</v>
      </c>
      <c r="AP4" s="6" t="s">
        <v>20</v>
      </c>
      <c r="AQ4" s="6" t="s">
        <v>18</v>
      </c>
      <c r="AR4" s="6" t="s">
        <v>19</v>
      </c>
      <c r="AS4" s="6" t="s">
        <v>20</v>
      </c>
      <c r="AT4" s="6" t="s">
        <v>18</v>
      </c>
      <c r="AU4" s="6" t="s">
        <v>19</v>
      </c>
      <c r="AV4" s="6" t="s">
        <v>20</v>
      </c>
      <c r="AW4" s="6" t="s">
        <v>18</v>
      </c>
      <c r="AX4" s="6" t="s">
        <v>19</v>
      </c>
      <c r="AY4" s="6" t="s">
        <v>20</v>
      </c>
      <c r="AZ4" s="6" t="s">
        <v>18</v>
      </c>
      <c r="BA4" s="6" t="s">
        <v>19</v>
      </c>
      <c r="BB4" s="6" t="s">
        <v>20</v>
      </c>
      <c r="BC4" s="6" t="s">
        <v>18</v>
      </c>
      <c r="BD4" s="6" t="s">
        <v>19</v>
      </c>
      <c r="BE4" s="6" t="s">
        <v>20</v>
      </c>
      <c r="BF4" s="6" t="s">
        <v>18</v>
      </c>
      <c r="BG4" s="6" t="s">
        <v>19</v>
      </c>
      <c r="BH4" s="6" t="s">
        <v>20</v>
      </c>
      <c r="BI4" s="6" t="s">
        <v>18</v>
      </c>
      <c r="BJ4" s="6" t="s">
        <v>19</v>
      </c>
      <c r="BK4" s="6" t="s">
        <v>20</v>
      </c>
      <c r="BL4" s="6" t="s">
        <v>18</v>
      </c>
      <c r="BM4" s="6" t="s">
        <v>19</v>
      </c>
      <c r="BN4" s="6" t="s">
        <v>20</v>
      </c>
      <c r="BO4" s="6" t="s">
        <v>18</v>
      </c>
      <c r="BP4" s="6" t="s">
        <v>19</v>
      </c>
      <c r="BQ4" s="6" t="s">
        <v>20</v>
      </c>
      <c r="BR4" s="6" t="s">
        <v>18</v>
      </c>
      <c r="BS4" s="6" t="s">
        <v>19</v>
      </c>
      <c r="BT4" s="6" t="s">
        <v>20</v>
      </c>
      <c r="BU4" s="6" t="s">
        <v>18</v>
      </c>
      <c r="BV4" s="6" t="s">
        <v>19</v>
      </c>
      <c r="BW4" s="6" t="s">
        <v>20</v>
      </c>
      <c r="BX4" s="6" t="s">
        <v>18</v>
      </c>
      <c r="BY4" s="6" t="s">
        <v>19</v>
      </c>
      <c r="BZ4" s="6" t="s">
        <v>20</v>
      </c>
      <c r="CA4" s="6" t="s">
        <v>18</v>
      </c>
      <c r="CB4" s="6" t="s">
        <v>19</v>
      </c>
      <c r="CC4" s="6" t="s">
        <v>20</v>
      </c>
      <c r="CD4" s="6" t="s">
        <v>18</v>
      </c>
      <c r="CE4" s="6" t="s">
        <v>19</v>
      </c>
      <c r="CF4" s="6" t="s">
        <v>20</v>
      </c>
      <c r="CG4" s="6" t="s">
        <v>18</v>
      </c>
      <c r="CH4" s="6" t="s">
        <v>19</v>
      </c>
      <c r="CI4" s="6" t="s">
        <v>20</v>
      </c>
      <c r="CJ4" s="6" t="s">
        <v>18</v>
      </c>
      <c r="CK4" s="6" t="s">
        <v>19</v>
      </c>
      <c r="CL4" s="6" t="s">
        <v>20</v>
      </c>
      <c r="CM4" s="6" t="s">
        <v>18</v>
      </c>
      <c r="CN4" s="6" t="s">
        <v>19</v>
      </c>
      <c r="CO4" s="6" t="s">
        <v>20</v>
      </c>
      <c r="CP4" s="6" t="s">
        <v>18</v>
      </c>
      <c r="CQ4" s="6" t="s">
        <v>19</v>
      </c>
      <c r="CR4" s="6" t="s">
        <v>20</v>
      </c>
      <c r="CS4" s="6" t="s">
        <v>21</v>
      </c>
      <c r="CT4" s="6" t="s">
        <v>22</v>
      </c>
      <c r="CU4" s="6" t="s">
        <v>23</v>
      </c>
      <c r="CV4" s="6" t="s">
        <v>24</v>
      </c>
      <c r="CW4" s="30"/>
      <c r="CX4" s="30"/>
      <c r="CY4" s="30"/>
      <c r="CZ4" s="30"/>
      <c r="DA4" s="30"/>
      <c r="DB4" s="30"/>
    </row>
    <row r="5" spans="1:109" ht="15" customHeight="1" x14ac:dyDescent="0.25">
      <c r="A5" s="7"/>
      <c r="B5" s="8" t="str">
        <f>IF(COUNTA(C3,D3,E3,F3,G3,H3,I3,J3,K3,L3,M3,N3,O3,P3,Q3)=0,"",COUNTA(C3,D3,E3,F3,G3,H3,I3,J3,K3,L3,M3,N3,O3,P3,Q3))</f>
        <v/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9">
        <f t="shared" ref="R5:R36" si="0">IFERROR(SUM(C5,D5,E5,F5,G5,H5,I5,J5,K5,L5,M5,N5,O5,P5,Q5)/B5*30,0)</f>
        <v>0</v>
      </c>
      <c r="S5" s="8" t="str">
        <f>IF(COUNTA(T3,U3,V3,W3,X3,Y3,Z3,AA3,AB3,AC3,AD3,AE3,AF3,AG3,AH3)=0,"",COUNTA(T3,U3,V3,W3,X3,Y3,Z3,AA3,AB3,AC3,AD3,AE3,AF3,AG3,AH3))</f>
        <v/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9">
        <f t="shared" ref="AI5:AI36" si="1">IFERROR(SUM(T5,U5,V5,W5,X5,Y5,Z5,AA5,AB5,AC5,AD5,AE5,AF5,AG5,AH5)/S5*30,0)</f>
        <v>0</v>
      </c>
      <c r="AJ5" s="9" t="str">
        <f>IF(COUNTA(AK3,AN3,AQ3,AT3,AW3,AZ3,BC3,BF3,BI3,BL3,BO3,BR3,BU3,BX3,CA3,CD3,CG3,CJ3,CM3,CP3)=0,"",COUNTA(AK3,AN3,AQ3,AT3,AW3,AZ3,BC3,BF3,BI3,BL3,BO3,BR3,BU3,BX3,CA3,CD3,CG3,CJ3,CM3,CP3))</f>
        <v/>
      </c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9">
        <f t="shared" ref="CS5:CS36" si="2">IFERROR(SUM(AK5,AN5,AQ5,AT5,AW5,AZ5,BC5,BF5,BI5,BL5,BO5,BR5,BU5,BX5,CA5,CD5,CG5,CJ5,CM5,CP5)/AJ5*10,0)</f>
        <v>0</v>
      </c>
      <c r="CT5" s="9">
        <f t="shared" ref="CT5:CT36" si="3">IFERROR(SUM(AL5,AO5,AR5,AU5,AX5,BA5,BD5,BG5,BJ5,BM5,BP5,BS5,BV5,BY5,CB5,CE5,CH5,CK5,CN5,CQ5)/AJ5/5*5,0)</f>
        <v>0</v>
      </c>
      <c r="CU5" s="9">
        <f t="shared" ref="CU5:CU36" si="4">IFERROR(SUM(AM5,AP5,AS5,AV5,AY5,BB5,BE5,BH5,BK5,BN5,BQ5,BT5,BW5,BZ5,CC5,CF5,CI5,CL5,CO5,CR5)/AJ5*5,0)</f>
        <v>0</v>
      </c>
      <c r="CV5" s="9">
        <f t="shared" ref="CV5:CV36" si="5">ROUND(SUM(CS5,CT5,CU5),2)</f>
        <v>0</v>
      </c>
      <c r="CW5" s="10"/>
      <c r="CX5" s="10"/>
      <c r="CY5" s="11"/>
      <c r="CZ5" s="12">
        <f t="shared" ref="CZ5:CZ36" si="6">ROUND(SUM(R5,AI5,CV5,CW5,CX5,CY5),2)</f>
        <v>0</v>
      </c>
      <c r="DA5" s="13">
        <f t="shared" ref="DA5:DA36" si="7">ROUND(CZ5/110*100,1)</f>
        <v>0</v>
      </c>
      <c r="DB5" s="14" t="str">
        <f>IF(CZ5&gt;=90,"A",IF(CZ5&gt;=80,"B",IF(CZ5&gt;=70,"C",IF(CZ5&gt;=60,"D",IF(CZ5&gt;0,"F"," ")))))</f>
        <v xml:space="preserve"> </v>
      </c>
      <c r="DE5" s="15" t="str">
        <f t="shared" ref="DE5:DE36" si="8">IF(A5="","",DA5-ROW()/100000000)</f>
        <v/>
      </c>
    </row>
    <row r="6" spans="1:109" ht="15" customHeight="1" x14ac:dyDescent="0.25">
      <c r="A6" s="16"/>
      <c r="B6" s="8" t="str">
        <f>IF(COUNTA(C3,D3,E3,F3,G3,H3,I3,J3,K3,L3,M3,N3,O3,P3,Q3)=0,"",COUNTA(C3,D3,E3,F3,G3,H3,I3,J3,K3,L3,M3,N3,O3,P3,Q3))</f>
        <v/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9">
        <f t="shared" si="0"/>
        <v>0</v>
      </c>
      <c r="S6" s="8" t="str">
        <f>IF(COUNTA(T3,U3,V3,W3,X3,Y3,Z3,AA3,AB3,AC3,AD3,AE3,AF3,AG3,AH3)=0,"",COUNTA(T3,U3,V3,W3,X3,Y3,Z3,AA3,AB3,AC3,AD3,AE3,AF3,AG3,AH3))</f>
        <v/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9">
        <f t="shared" si="1"/>
        <v>0</v>
      </c>
      <c r="AJ6" s="9" t="str">
        <f>IF(COUNTA(AK3,AN3,AQ3,AT3,AW3,AZ3,BC3,BF3,BI3,BL3,BO3,BR3,BU3,BX3,CA3,CD3,CG3,CJ3,CM3,CP3)=0,"",COUNTA(AK3,AN3,AQ3,AT3,AW3,AZ3,BC3,BF3,BI3,BL3,BO3,BR3,BU3,BX3,CA3,CD3,CG3,CJ3,CM3,CP3))</f>
        <v/>
      </c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9">
        <f t="shared" si="2"/>
        <v>0</v>
      </c>
      <c r="CT6" s="9">
        <f t="shared" si="3"/>
        <v>0</v>
      </c>
      <c r="CU6" s="9">
        <f t="shared" si="4"/>
        <v>0</v>
      </c>
      <c r="CV6" s="9">
        <f t="shared" si="5"/>
        <v>0</v>
      </c>
      <c r="CW6" s="10"/>
      <c r="CX6" s="10"/>
      <c r="CY6" s="11"/>
      <c r="CZ6" s="12">
        <f t="shared" si="6"/>
        <v>0</v>
      </c>
      <c r="DA6" s="13">
        <f t="shared" si="7"/>
        <v>0</v>
      </c>
      <c r="DB6" s="14" t="str">
        <f t="shared" ref="DB6:DB69" si="9">IF(CZ6&gt;=90,"A",IF(CZ6&gt;=80,"B",IF(CZ6&gt;=70,"C",IF(CZ6&gt;=60,"D",IF(CZ6&gt;0,"F"," ")))))</f>
        <v xml:space="preserve"> </v>
      </c>
      <c r="DE6" s="15" t="str">
        <f t="shared" si="8"/>
        <v/>
      </c>
    </row>
    <row r="7" spans="1:109" ht="15" customHeight="1" x14ac:dyDescent="0.25">
      <c r="A7" s="7"/>
      <c r="B7" s="8" t="str">
        <f>IF(COUNTA(C3,D3,E3,F3,G3,H3,I3,J3,K3,L3,M3,N3,O3,P3,Q3)=0,"",COUNTA(C3,D3,E3,F3,G3,H3,I3,J3,K3,L3,M3,N3,O3,P3,Q3))</f>
        <v/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9">
        <f t="shared" si="0"/>
        <v>0</v>
      </c>
      <c r="S7" s="8" t="str">
        <f>IF(COUNTA(T3,U3,V3,W3,X3,Y3,Z3,AA3,AB3,AC3,AD3,AE3,AF3,AG3,AH3)=0,"",COUNTA(T3,U3,V3,W3,X3,Y3,Z3,AA3,AB3,AC3,AD3,AE3,AF3,AG3,AH3))</f>
        <v/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9">
        <f t="shared" si="1"/>
        <v>0</v>
      </c>
      <c r="AJ7" s="9" t="str">
        <f>IF(COUNTA(AK3,AN3,AQ3,AT3,AW3,AZ3,BC3,BF3,BI3,BL3,BO3,BR3,BU3,BX3,CA3,CD3,CG3,CJ3,CM3,CP3)=0,"",COUNTA(AK3,AN3,AQ3,AT3,AW3,AZ3,BC3,BF3,BI3,BL3,BO3,BR3,BU3,BX3,CA3,CD3,CG3,CJ3,CM3,CP3))</f>
        <v/>
      </c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9">
        <f t="shared" si="2"/>
        <v>0</v>
      </c>
      <c r="CT7" s="9">
        <f t="shared" si="3"/>
        <v>0</v>
      </c>
      <c r="CU7" s="9">
        <f t="shared" si="4"/>
        <v>0</v>
      </c>
      <c r="CV7" s="9">
        <f t="shared" si="5"/>
        <v>0</v>
      </c>
      <c r="CW7" s="10"/>
      <c r="CX7" s="10"/>
      <c r="CY7" s="11"/>
      <c r="CZ7" s="12">
        <f t="shared" si="6"/>
        <v>0</v>
      </c>
      <c r="DA7" s="13">
        <f t="shared" si="7"/>
        <v>0</v>
      </c>
      <c r="DB7" s="14" t="str">
        <f t="shared" si="9"/>
        <v xml:space="preserve"> </v>
      </c>
      <c r="DE7" s="15" t="str">
        <f t="shared" si="8"/>
        <v/>
      </c>
    </row>
    <row r="8" spans="1:109" ht="15" customHeight="1" x14ac:dyDescent="0.25">
      <c r="A8" s="16"/>
      <c r="B8" s="8" t="str">
        <f>IF(COUNTA(C3,D3,E3,F3,G3,H3,I3,J3,K3,L3,M3,N3,O3,P3,Q3)=0,"",COUNTA(C3,D3,E3,F3,G3,H3,I3,J3,K3,L3,M3,N3,O3,P3,Q3))</f>
        <v/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9">
        <f t="shared" si="0"/>
        <v>0</v>
      </c>
      <c r="S8" s="8" t="str">
        <f>IF(COUNTA(T3,U3,V3,W3,X3,Y3,Z3,AA3,AB3,AC3,AD3,AE3,AF3,AG3,AH3)=0,"",COUNTA(T3,U3,V3,W3,X3,Y3,Z3,AA3,AB3,AC3,AD3,AE3,AF3,AG3,AH3))</f>
        <v/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9">
        <f t="shared" si="1"/>
        <v>0</v>
      </c>
      <c r="AJ8" s="9" t="str">
        <f>IF(COUNTA(AK3,AN3,AQ3,AT3,AW3,AZ3,BC3,BF3,BI3,BL3,BO3,BR3,BU3,BX3,CA3,CD3,CG3,CJ3,CM3,CP3)=0,"",COUNTA(AK3,AN3,AQ3,AT3,AW3,AZ3,BC3,BF3,BI3,BL3,BO3,BR3,BU3,BX3,CA3,CD3,CG3,CJ3,CM3,CP3))</f>
        <v/>
      </c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9">
        <f t="shared" si="2"/>
        <v>0</v>
      </c>
      <c r="CT8" s="9">
        <f t="shared" si="3"/>
        <v>0</v>
      </c>
      <c r="CU8" s="9">
        <f t="shared" si="4"/>
        <v>0</v>
      </c>
      <c r="CV8" s="9">
        <f t="shared" si="5"/>
        <v>0</v>
      </c>
      <c r="CW8" s="10"/>
      <c r="CX8" s="10"/>
      <c r="CY8" s="11"/>
      <c r="CZ8" s="12">
        <f t="shared" si="6"/>
        <v>0</v>
      </c>
      <c r="DA8" s="13">
        <f t="shared" si="7"/>
        <v>0</v>
      </c>
      <c r="DB8" s="14" t="str">
        <f t="shared" si="9"/>
        <v xml:space="preserve"> </v>
      </c>
      <c r="DE8" s="15" t="str">
        <f t="shared" si="8"/>
        <v/>
      </c>
    </row>
    <row r="9" spans="1:109" ht="15" customHeight="1" x14ac:dyDescent="0.25">
      <c r="A9" s="7"/>
      <c r="B9" s="8" t="str">
        <f>IF(COUNTA(C3,D3,E3,F3,G3,H3,I3,J3,K3,L3,M3,N3,O3,P3,Q3)=0,"",COUNTA(C3,D3,E3,F3,G3,H3,I3,J3,K3,L3,M3,N3,O3,P3,Q3))</f>
        <v/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9">
        <f t="shared" si="0"/>
        <v>0</v>
      </c>
      <c r="S9" s="8" t="str">
        <f>IF(COUNTA(T3,U3,V3,W3,X3,Y3,Z3,AA3,AB3,AC3,AD3,AE3,AF3,AG3,AH3)=0,"",COUNTA(T3,U3,V3,W3,X3,Y3,Z3,AA3,AB3,AC3,AD3,AE3,AF3,AG3,AH3))</f>
        <v/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9">
        <f t="shared" si="1"/>
        <v>0</v>
      </c>
      <c r="AJ9" s="9" t="str">
        <f>IF(COUNTA(AK3,AN3,AQ3,AT3,AW3,AZ3,BC3,BF3,BI3,BL3,BO3,BR3,BU3,BX3,CA3,CD3,CG3,CJ3,CM3,CP3)=0,"",COUNTA(AK3,AN3,AQ3,AT3,AW3,AZ3,BC3,BF3,BI3,BL3,BO3,BR3,BU3,BX3,CA3,CD3,CG3,CJ3,CM3,CP3))</f>
        <v/>
      </c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9">
        <f t="shared" si="2"/>
        <v>0</v>
      </c>
      <c r="CT9" s="9">
        <f t="shared" si="3"/>
        <v>0</v>
      </c>
      <c r="CU9" s="9">
        <f t="shared" si="4"/>
        <v>0</v>
      </c>
      <c r="CV9" s="9">
        <f t="shared" si="5"/>
        <v>0</v>
      </c>
      <c r="CW9" s="10"/>
      <c r="CX9" s="10"/>
      <c r="CY9" s="11"/>
      <c r="CZ9" s="12">
        <f t="shared" si="6"/>
        <v>0</v>
      </c>
      <c r="DA9" s="13">
        <f t="shared" si="7"/>
        <v>0</v>
      </c>
      <c r="DB9" s="14" t="str">
        <f t="shared" si="9"/>
        <v xml:space="preserve"> </v>
      </c>
      <c r="DE9" s="15" t="str">
        <f t="shared" si="8"/>
        <v/>
      </c>
    </row>
    <row r="10" spans="1:109" ht="15" customHeight="1" x14ac:dyDescent="0.25">
      <c r="A10" s="16"/>
      <c r="B10" s="8" t="str">
        <f>IF(COUNTA(C3,D3,E3,F3,G3,H3,I3,J3,K3,L3,M3,N3,O3,P3,Q3)=0,"",COUNTA(C3,D3,E3,F3,G3,H3,I3,J3,K3,L3,M3,N3,O3,P3,Q3))</f>
        <v/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9">
        <f t="shared" si="0"/>
        <v>0</v>
      </c>
      <c r="S10" s="8" t="str">
        <f>IF(COUNTA(T3,U3,V3,W3,X3,Y3,Z3,AA3,AB3,AC3,AD3,AE3,AF3,AG3,AH3)=0,"",COUNTA(T3,U3,V3,W3,X3,Y3,Z3,AA3,AB3,AC3,AD3,AE3,AF3,AG3,AH3))</f>
        <v/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9">
        <f t="shared" si="1"/>
        <v>0</v>
      </c>
      <c r="AJ10" s="9" t="str">
        <f>IF(COUNTA(AK3,AN3,AQ3,AT3,AW3,AZ3,BC3,BF3,BI3,BL3,BO3,BR3,BU3,BX3,CA3,CD3,CG3,CJ3,CM3,CP3)=0,"",COUNTA(AK3,AN3,AQ3,AT3,AW3,AZ3,BC3,BF3,BI3,BL3,BO3,BR3,BU3,BX3,CA3,CD3,CG3,CJ3,CM3,CP3))</f>
        <v/>
      </c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9">
        <f t="shared" si="2"/>
        <v>0</v>
      </c>
      <c r="CT10" s="9">
        <f t="shared" si="3"/>
        <v>0</v>
      </c>
      <c r="CU10" s="9">
        <f t="shared" si="4"/>
        <v>0</v>
      </c>
      <c r="CV10" s="9">
        <f t="shared" si="5"/>
        <v>0</v>
      </c>
      <c r="CW10" s="10"/>
      <c r="CX10" s="10"/>
      <c r="CY10" s="11"/>
      <c r="CZ10" s="12">
        <f t="shared" si="6"/>
        <v>0</v>
      </c>
      <c r="DA10" s="13">
        <f t="shared" si="7"/>
        <v>0</v>
      </c>
      <c r="DB10" s="14" t="str">
        <f t="shared" si="9"/>
        <v xml:space="preserve"> </v>
      </c>
      <c r="DE10" s="15" t="str">
        <f t="shared" si="8"/>
        <v/>
      </c>
    </row>
    <row r="11" spans="1:109" ht="15" customHeight="1" x14ac:dyDescent="0.25">
      <c r="A11" s="7"/>
      <c r="B11" s="8" t="str">
        <f>IF(COUNTA(C3,D3,E3,F3,G3,H3,I3,J3,K3,L3,M3,N3,O3,P3,Q3)=0,"",COUNTA(C3,D3,E3,F3,G3,H3,I3,J3,K3,L3,M3,N3,O3,P3,Q3))</f>
        <v/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9">
        <f t="shared" si="0"/>
        <v>0</v>
      </c>
      <c r="S11" s="8" t="str">
        <f>IF(COUNTA(T3,U3,V3,W3,X3,Y3,Z3,AA3,AB3,AC3,AD3,AE3,AF3,AG3,AH3)=0,"",COUNTA(T3,U3,V3,W3,X3,Y3,Z3,AA3,AB3,AC3,AD3,AE3,AF3,AG3,AH3))</f>
        <v/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9">
        <f t="shared" si="1"/>
        <v>0</v>
      </c>
      <c r="AJ11" s="9" t="str">
        <f>IF(COUNTA(AK3,AN3,AQ3,AT3,AW3,AZ3,BC3,BF3,BI3,BL3,BO3,BR3,BU3,BX3,CA3,CD3,CG3,CJ3,CM3,CP3)=0,"",COUNTA(AK3,AN3,AQ3,AT3,AW3,AZ3,BC3,BF3,BI3,BL3,BO3,BR3,BU3,BX3,CA3,CD3,CG3,CJ3,CM3,CP3))</f>
        <v/>
      </c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9">
        <f t="shared" si="2"/>
        <v>0</v>
      </c>
      <c r="CT11" s="9">
        <f t="shared" si="3"/>
        <v>0</v>
      </c>
      <c r="CU11" s="9">
        <f t="shared" si="4"/>
        <v>0</v>
      </c>
      <c r="CV11" s="9">
        <f t="shared" si="5"/>
        <v>0</v>
      </c>
      <c r="CW11" s="10"/>
      <c r="CX11" s="10"/>
      <c r="CY11" s="11"/>
      <c r="CZ11" s="12">
        <f t="shared" si="6"/>
        <v>0</v>
      </c>
      <c r="DA11" s="13">
        <f t="shared" si="7"/>
        <v>0</v>
      </c>
      <c r="DB11" s="14" t="str">
        <f t="shared" si="9"/>
        <v xml:space="preserve"> </v>
      </c>
      <c r="DE11" s="15" t="str">
        <f t="shared" si="8"/>
        <v/>
      </c>
    </row>
    <row r="12" spans="1:109" ht="15" customHeight="1" x14ac:dyDescent="0.25">
      <c r="A12" s="16"/>
      <c r="B12" s="8" t="str">
        <f>IF(COUNTA(C3,D3,E3,F3,G3,H3,I3,J3,K3,L3,M3,N3,O3,P3,Q3)=0,"",COUNTA(C3,D3,E3,F3,G3,H3,I3,J3,K3,L3,M3,N3,O3,P3,Q3))</f>
        <v/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9">
        <f t="shared" si="0"/>
        <v>0</v>
      </c>
      <c r="S12" s="8" t="str">
        <f>IF(COUNTA(T3,U3,V3,W3,X3,Y3,Z3,AA3,AB3,AC3,AD3,AE3,AF3,AG3,AH3)=0,"",COUNTA(T3,U3,V3,W3,X3,Y3,Z3,AA3,AB3,AC3,AD3,AE3,AF3,AG3,AH3))</f>
        <v/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9">
        <f t="shared" si="1"/>
        <v>0</v>
      </c>
      <c r="AJ12" s="9" t="str">
        <f>IF(COUNTA(AK3,AN3,AQ3,AT3,AW3,AZ3,BC3,BF3,BI3,BL3,BO3,BR3,BU3,BX3,CA3,CD3,CG3,CJ3,CM3,CP3)=0,"",COUNTA(AK3,AN3,AQ3,AT3,AW3,AZ3,BC3,BF3,BI3,BL3,BO3,BR3,BU3,BX3,CA3,CD3,CG3,CJ3,CM3,CP3))</f>
        <v/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9">
        <f t="shared" si="2"/>
        <v>0</v>
      </c>
      <c r="CT12" s="9">
        <f t="shared" si="3"/>
        <v>0</v>
      </c>
      <c r="CU12" s="9">
        <f t="shared" si="4"/>
        <v>0</v>
      </c>
      <c r="CV12" s="9">
        <f t="shared" si="5"/>
        <v>0</v>
      </c>
      <c r="CW12" s="10"/>
      <c r="CX12" s="10"/>
      <c r="CY12" s="11"/>
      <c r="CZ12" s="12">
        <f t="shared" si="6"/>
        <v>0</v>
      </c>
      <c r="DA12" s="13">
        <f t="shared" si="7"/>
        <v>0</v>
      </c>
      <c r="DB12" s="14" t="str">
        <f t="shared" si="9"/>
        <v xml:space="preserve"> </v>
      </c>
      <c r="DE12" s="15" t="str">
        <f t="shared" si="8"/>
        <v/>
      </c>
    </row>
    <row r="13" spans="1:109" ht="15" customHeight="1" x14ac:dyDescent="0.25">
      <c r="A13" s="7"/>
      <c r="B13" s="8" t="str">
        <f>IF(COUNTA(C3,D3,E3,F3,G3,H3,I3,J3,K3,L3,M3,N3,O3,P3,Q3)=0,"",COUNTA(C3,D3,E3,F3,G3,H3,I3,J3,K3,L3,M3,N3,O3,P3,Q3))</f>
        <v/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9">
        <f t="shared" si="0"/>
        <v>0</v>
      </c>
      <c r="S13" s="8" t="str">
        <f>IF(COUNTA(T3,U3,V3,W3,X3,Y3,Z3,AA3,AB3,AC3,AD3,AE3,AF3,AG3,AH3)=0,"",COUNTA(T3,U3,V3,W3,X3,Y3,Z3,AA3,AB3,AC3,AD3,AE3,AF3,AG3,AH3))</f>
        <v/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9">
        <f t="shared" si="1"/>
        <v>0</v>
      </c>
      <c r="AJ13" s="9" t="str">
        <f>IF(COUNTA(AK3,AN3,AQ3,AT3,AW3,AZ3,BC3,BF3,BI3,BL3,BO3,BR3,BU3,BX3,CA3,CD3,CG3,CJ3,CM3,CP3)=0,"",COUNTA(AK3,AN3,AQ3,AT3,AW3,AZ3,BC3,BF3,BI3,BL3,BO3,BR3,BU3,BX3,CA3,CD3,CG3,CJ3,CM3,CP3))</f>
        <v/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9">
        <f t="shared" si="2"/>
        <v>0</v>
      </c>
      <c r="CT13" s="9">
        <f t="shared" si="3"/>
        <v>0</v>
      </c>
      <c r="CU13" s="9">
        <f t="shared" si="4"/>
        <v>0</v>
      </c>
      <c r="CV13" s="9">
        <f t="shared" si="5"/>
        <v>0</v>
      </c>
      <c r="CW13" s="10"/>
      <c r="CX13" s="10"/>
      <c r="CY13" s="11"/>
      <c r="CZ13" s="12">
        <f t="shared" si="6"/>
        <v>0</v>
      </c>
      <c r="DA13" s="13">
        <f t="shared" si="7"/>
        <v>0</v>
      </c>
      <c r="DB13" s="14" t="str">
        <f t="shared" si="9"/>
        <v xml:space="preserve"> </v>
      </c>
      <c r="DE13" s="15" t="str">
        <f t="shared" si="8"/>
        <v/>
      </c>
    </row>
    <row r="14" spans="1:109" ht="15" customHeight="1" x14ac:dyDescent="0.25">
      <c r="A14" s="16"/>
      <c r="B14" s="8" t="str">
        <f>IF(COUNTA(C3,D3,E3,F3,G3,H3,I3,J3,K3,L3,M3,N3,O3,P3,Q3)=0,"",COUNTA(C3,D3,E3,F3,G3,H3,I3,J3,K3,L3,M3,N3,O3,P3,Q3))</f>
        <v/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9">
        <f t="shared" si="0"/>
        <v>0</v>
      </c>
      <c r="S14" s="8" t="str">
        <f>IF(COUNTA(T3,U3,V3,W3,X3,Y3,Z3,AA3,AB3,AC3,AD3,AE3,AF3,AG3,AH3)=0,"",COUNTA(T3,U3,V3,W3,X3,Y3,Z3,AA3,AB3,AC3,AD3,AE3,AF3,AG3,AH3))</f>
        <v/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9">
        <f t="shared" si="1"/>
        <v>0</v>
      </c>
      <c r="AJ14" s="9" t="str">
        <f>IF(COUNTA(AK3,AN3,AQ3,AT3,AW3,AZ3,BC3,BF3,BI3,BL3,BO3,BR3,BU3,BX3,CA3,CD3,CG3,CJ3,CM3,CP3)=0,"",COUNTA(AK3,AN3,AQ3,AT3,AW3,AZ3,BC3,BF3,BI3,BL3,BO3,BR3,BU3,BX3,CA3,CD3,CG3,CJ3,CM3,CP3))</f>
        <v/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9">
        <f t="shared" si="2"/>
        <v>0</v>
      </c>
      <c r="CT14" s="9">
        <f t="shared" si="3"/>
        <v>0</v>
      </c>
      <c r="CU14" s="9">
        <f t="shared" si="4"/>
        <v>0</v>
      </c>
      <c r="CV14" s="9">
        <f t="shared" si="5"/>
        <v>0</v>
      </c>
      <c r="CW14" s="10"/>
      <c r="CX14" s="10"/>
      <c r="CY14" s="11"/>
      <c r="CZ14" s="12">
        <f t="shared" si="6"/>
        <v>0</v>
      </c>
      <c r="DA14" s="13">
        <f t="shared" si="7"/>
        <v>0</v>
      </c>
      <c r="DB14" s="14" t="str">
        <f t="shared" si="9"/>
        <v xml:space="preserve"> </v>
      </c>
      <c r="DE14" s="15" t="str">
        <f t="shared" si="8"/>
        <v/>
      </c>
    </row>
    <row r="15" spans="1:109" ht="15" customHeight="1" x14ac:dyDescent="0.25">
      <c r="A15" s="7"/>
      <c r="B15" s="8" t="str">
        <f>IF(COUNTA(C3,D3,E3,F3,G3,H3,I3,J3,K3,L3,M3,N3,O3,P3,Q3)=0,"",COUNTA(C3,D3,E3,F3,G3,H3,I3,J3,K3,L3,M3,N3,O3,P3,Q3))</f>
        <v/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9">
        <f t="shared" si="0"/>
        <v>0</v>
      </c>
      <c r="S15" s="8" t="str">
        <f>IF(COUNTA(T3,U3,V3,W3,X3,Y3,Z3,AA3,AB3,AC3,AD3,AE3,AF3,AG3,AH3)=0,"",COUNTA(T3,U3,V3,W3,X3,Y3,Z3,AA3,AB3,AC3,AD3,AE3,AF3,AG3,AH3))</f>
        <v/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9">
        <f t="shared" si="1"/>
        <v>0</v>
      </c>
      <c r="AJ15" s="9" t="str">
        <f>IF(COUNTA(AK3,AN3,AQ3,AT3,AW3,AZ3,BC3,BF3,BI3,BL3,BO3,BR3,BU3,BX3,CA3,CD3,CG3,CJ3,CM3,CP3)=0,"",COUNTA(AK3,AN3,AQ3,AT3,AW3,AZ3,BC3,BF3,BI3,BL3,BO3,BR3,BU3,BX3,CA3,CD3,CG3,CJ3,CM3,CP3))</f>
        <v/>
      </c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9">
        <f t="shared" si="2"/>
        <v>0</v>
      </c>
      <c r="CT15" s="9">
        <f t="shared" si="3"/>
        <v>0</v>
      </c>
      <c r="CU15" s="9">
        <f t="shared" si="4"/>
        <v>0</v>
      </c>
      <c r="CV15" s="9">
        <f t="shared" si="5"/>
        <v>0</v>
      </c>
      <c r="CW15" s="10"/>
      <c r="CX15" s="10"/>
      <c r="CY15" s="11"/>
      <c r="CZ15" s="12">
        <f t="shared" si="6"/>
        <v>0</v>
      </c>
      <c r="DA15" s="13">
        <f t="shared" si="7"/>
        <v>0</v>
      </c>
      <c r="DB15" s="14" t="str">
        <f t="shared" si="9"/>
        <v xml:space="preserve"> </v>
      </c>
      <c r="DE15" s="15" t="str">
        <f t="shared" si="8"/>
        <v/>
      </c>
    </row>
    <row r="16" spans="1:109" ht="15" customHeight="1" x14ac:dyDescent="0.25">
      <c r="A16" s="16"/>
      <c r="B16" s="8" t="str">
        <f>IF(COUNTA(C3,D3,E3,F3,G3,H3,I3,J3,K3,L3,M3,N3,O3,P3,Q3)=0,"",COUNTA(C3,D3,E3,F3,G3,H3,I3,J3,K3,L3,M3,N3,O3,P3,Q3))</f>
        <v/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9">
        <f t="shared" si="0"/>
        <v>0</v>
      </c>
      <c r="S16" s="8" t="str">
        <f>IF(COUNTA(T3,U3,V3,W3,X3,Y3,Z3,AA3,AB3,AC3,AD3,AE3,AF3,AG3,AH3)=0,"",COUNTA(T3,U3,V3,W3,X3,Y3,Z3,AA3,AB3,AC3,AD3,AE3,AF3,AG3,AH3))</f>
        <v/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9">
        <f t="shared" si="1"/>
        <v>0</v>
      </c>
      <c r="AJ16" s="9" t="str">
        <f>IF(COUNTA(AK3,AN3,AQ3,AT3,AW3,AZ3,BC3,BF3,BI3,BL3,BO3,BR3,BU3,BX3,CA3,CD3,CG3,CJ3,CM3,CP3)=0,"",COUNTA(AK3,AN3,AQ3,AT3,AW3,AZ3,BC3,BF3,BI3,BL3,BO3,BR3,BU3,BX3,CA3,CD3,CG3,CJ3,CM3,CP3))</f>
        <v/>
      </c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9">
        <f t="shared" si="2"/>
        <v>0</v>
      </c>
      <c r="CT16" s="9">
        <f t="shared" si="3"/>
        <v>0</v>
      </c>
      <c r="CU16" s="9">
        <f t="shared" si="4"/>
        <v>0</v>
      </c>
      <c r="CV16" s="9">
        <f t="shared" si="5"/>
        <v>0</v>
      </c>
      <c r="CW16" s="10"/>
      <c r="CX16" s="10"/>
      <c r="CY16" s="11"/>
      <c r="CZ16" s="12">
        <f t="shared" si="6"/>
        <v>0</v>
      </c>
      <c r="DA16" s="13">
        <f t="shared" si="7"/>
        <v>0</v>
      </c>
      <c r="DB16" s="14" t="str">
        <f t="shared" si="9"/>
        <v xml:space="preserve"> </v>
      </c>
      <c r="DE16" s="15" t="str">
        <f t="shared" si="8"/>
        <v/>
      </c>
    </row>
    <row r="17" spans="1:109" ht="15" customHeight="1" x14ac:dyDescent="0.25">
      <c r="A17" s="7"/>
      <c r="B17" s="8" t="str">
        <f>IF(COUNTA(C3,D3,E3,F3,G3,H3,I3,J3,K3,L3,M3,N3,O3,P3,Q3)=0,"",COUNTA(C3,D3,E3,F3,G3,H3,I3,J3,K3,L3,M3,N3,O3,P3,Q3))</f>
        <v/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9">
        <f t="shared" si="0"/>
        <v>0</v>
      </c>
      <c r="S17" s="8" t="str">
        <f>IF(COUNTA(T3,U3,V3,W3,X3,Y3,Z3,AA3,AB3,AC3,AD3,AE3,AF3,AG3,AH3)=0,"",COUNTA(T3,U3,V3,W3,X3,Y3,Z3,AA3,AB3,AC3,AD3,AE3,AF3,AG3,AH3))</f>
        <v/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9">
        <f t="shared" si="1"/>
        <v>0</v>
      </c>
      <c r="AJ17" s="9" t="str">
        <f>IF(COUNTA(AK3,AN3,AQ3,AT3,AW3,AZ3,BC3,BF3,BI3,BL3,BO3,BR3,BU3,BX3,CA3,CD3,CG3,CJ3,CM3,CP3)=0,"",COUNTA(AK3,AN3,AQ3,AT3,AW3,AZ3,BC3,BF3,BI3,BL3,BO3,BR3,BU3,BX3,CA3,CD3,CG3,CJ3,CM3,CP3))</f>
        <v/>
      </c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9">
        <f t="shared" si="2"/>
        <v>0</v>
      </c>
      <c r="CT17" s="9">
        <f t="shared" si="3"/>
        <v>0</v>
      </c>
      <c r="CU17" s="9">
        <f t="shared" si="4"/>
        <v>0</v>
      </c>
      <c r="CV17" s="9">
        <f t="shared" si="5"/>
        <v>0</v>
      </c>
      <c r="CW17" s="10"/>
      <c r="CX17" s="10"/>
      <c r="CY17" s="11"/>
      <c r="CZ17" s="12">
        <f t="shared" si="6"/>
        <v>0</v>
      </c>
      <c r="DA17" s="13">
        <f t="shared" si="7"/>
        <v>0</v>
      </c>
      <c r="DB17" s="14" t="str">
        <f t="shared" si="9"/>
        <v xml:space="preserve"> </v>
      </c>
      <c r="DE17" s="15" t="str">
        <f t="shared" si="8"/>
        <v/>
      </c>
    </row>
    <row r="18" spans="1:109" ht="15" customHeight="1" x14ac:dyDescent="0.25">
      <c r="A18" s="16"/>
      <c r="B18" s="8" t="str">
        <f>IF(COUNTA(C3,D3,E3,F3,G3,H3,I3,J3,K3,L3,M3,N3,O3,P3,Q3)=0,"",COUNTA(C3,D3,E3,F3,G3,H3,I3,J3,K3,L3,M3,N3,O3,P3,Q3))</f>
        <v/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9">
        <f t="shared" si="0"/>
        <v>0</v>
      </c>
      <c r="S18" s="8" t="str">
        <f>IF(COUNTA(T3,U3,V3,W3,X3,Y3,Z3,AA3,AB3,AC3,AD3,AE3,AF3,AG3,AH3)=0,"",COUNTA(T3,U3,V3,W3,X3,Y3,Z3,AA3,AB3,AC3,AD3,AE3,AF3,AG3,AH3))</f>
        <v/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9">
        <f t="shared" si="1"/>
        <v>0</v>
      </c>
      <c r="AJ18" s="9" t="str">
        <f>IF(COUNTA(AK3,AN3,AQ3,AT3,AW3,AZ3,BC3,BF3,BI3,BL3,BO3,BR3,BU3,BX3,CA3,CD3,CG3,CJ3,CM3,CP3)=0,"",COUNTA(AK3,AN3,AQ3,AT3,AW3,AZ3,BC3,BF3,BI3,BL3,BO3,BR3,BU3,BX3,CA3,CD3,CG3,CJ3,CM3,CP3))</f>
        <v/>
      </c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9">
        <f t="shared" si="2"/>
        <v>0</v>
      </c>
      <c r="CT18" s="9">
        <f t="shared" si="3"/>
        <v>0</v>
      </c>
      <c r="CU18" s="9">
        <f t="shared" si="4"/>
        <v>0</v>
      </c>
      <c r="CV18" s="9">
        <f t="shared" si="5"/>
        <v>0</v>
      </c>
      <c r="CW18" s="10"/>
      <c r="CX18" s="10"/>
      <c r="CY18" s="11"/>
      <c r="CZ18" s="12">
        <f t="shared" si="6"/>
        <v>0</v>
      </c>
      <c r="DA18" s="13">
        <f t="shared" si="7"/>
        <v>0</v>
      </c>
      <c r="DB18" s="14" t="str">
        <f t="shared" si="9"/>
        <v xml:space="preserve"> </v>
      </c>
      <c r="DE18" s="15" t="str">
        <f t="shared" si="8"/>
        <v/>
      </c>
    </row>
    <row r="19" spans="1:109" ht="15" customHeight="1" x14ac:dyDescent="0.25">
      <c r="A19" s="16"/>
      <c r="B19" s="8" t="str">
        <f>IF(COUNTA(C3,D3,E3,F3,G3,H3,I3,J3,K3,L3,M3,N3,O3,P3,Q3)=0,"",COUNTA(C3,D3,E3,F3,G3,H3,I3,J3,K3,L3,M3,N3,O3,P3,Q3))</f>
        <v/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9">
        <f t="shared" si="0"/>
        <v>0</v>
      </c>
      <c r="S19" s="8" t="str">
        <f>IF(COUNTA(T3,U3,V3,W3,X3,Y3,Z3,AA3,AB3,AC3,AD3,AE3,AF3,AG3,AH3)=0,"",COUNTA(T3,U3,V3,W3,X3,Y3,Z3,AA3,AB3,AC3,AD3,AE3,AF3,AG3,AH3))</f>
        <v/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9">
        <f t="shared" si="1"/>
        <v>0</v>
      </c>
      <c r="AJ19" s="9" t="str">
        <f>IF(COUNTA(AK3,AN3,AQ3,AT3,AW3,AZ3,BC3,BF3,BI3,BL3,BO3,BR3,BU3,BX3,CA3,CD3,CG3,CJ3,CM3,CP3)=0,"",COUNTA(AK3,AN3,AQ3,AT3,AW3,AZ3,BC3,BF3,BI3,BL3,BO3,BR3,BU3,BX3,CA3,CD3,CG3,CJ3,CM3,CP3))</f>
        <v/>
      </c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9">
        <f t="shared" si="2"/>
        <v>0</v>
      </c>
      <c r="CT19" s="9">
        <f t="shared" si="3"/>
        <v>0</v>
      </c>
      <c r="CU19" s="9">
        <f t="shared" si="4"/>
        <v>0</v>
      </c>
      <c r="CV19" s="9">
        <f t="shared" si="5"/>
        <v>0</v>
      </c>
      <c r="CW19" s="10"/>
      <c r="CX19" s="10"/>
      <c r="CY19" s="11"/>
      <c r="CZ19" s="12">
        <f t="shared" si="6"/>
        <v>0</v>
      </c>
      <c r="DA19" s="13">
        <f t="shared" si="7"/>
        <v>0</v>
      </c>
      <c r="DB19" s="14" t="str">
        <f t="shared" si="9"/>
        <v xml:space="preserve"> </v>
      </c>
      <c r="DE19" s="15" t="str">
        <f t="shared" si="8"/>
        <v/>
      </c>
    </row>
    <row r="20" spans="1:109" ht="15" customHeight="1" x14ac:dyDescent="0.25">
      <c r="A20" s="7"/>
      <c r="B20" s="8" t="str">
        <f>IF(COUNTA(C3,D3,E3,F3,G3,H3,I3,J3,K3,L3,M3,N3,O3,P3,Q3)=0,"",COUNTA(C3,D3,E3,F3,G3,H3,I3,J3,K3,L3,M3,N3,O3,P3,Q3))</f>
        <v/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9">
        <f t="shared" si="0"/>
        <v>0</v>
      </c>
      <c r="S20" s="8" t="str">
        <f>IF(COUNTA(T3,U3,V3,W3,X3,Y3,Z3,AA3,AB3,AC3,AD3,AE3,AF3,AG3,AH3)=0,"",COUNTA(T3,U3,V3,W3,X3,Y3,Z3,AA3,AB3,AC3,AD3,AE3,AF3,AG3,AH3))</f>
        <v/>
      </c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9">
        <f t="shared" si="1"/>
        <v>0</v>
      </c>
      <c r="AJ20" s="9" t="str">
        <f>IF(COUNTA(AK3,AN3,AQ3,AT3,AW3,AZ3,BC3,BF3,BI3,BL3,BO3,BR3,BU3,BX3,CA3,CD3,CG3,CJ3,CM3,CP3)=0,"",COUNTA(AK3,AN3,AQ3,AT3,AW3,AZ3,BC3,BF3,BI3,BL3,BO3,BR3,BU3,BX3,CA3,CD3,CG3,CJ3,CM3,CP3))</f>
        <v/>
      </c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9">
        <f t="shared" si="2"/>
        <v>0</v>
      </c>
      <c r="CT20" s="9">
        <f t="shared" si="3"/>
        <v>0</v>
      </c>
      <c r="CU20" s="9">
        <f t="shared" si="4"/>
        <v>0</v>
      </c>
      <c r="CV20" s="9">
        <f t="shared" si="5"/>
        <v>0</v>
      </c>
      <c r="CW20" s="10"/>
      <c r="CX20" s="10"/>
      <c r="CY20" s="11"/>
      <c r="CZ20" s="12">
        <f t="shared" si="6"/>
        <v>0</v>
      </c>
      <c r="DA20" s="13">
        <f t="shared" si="7"/>
        <v>0</v>
      </c>
      <c r="DB20" s="14" t="str">
        <f t="shared" si="9"/>
        <v xml:space="preserve"> </v>
      </c>
      <c r="DE20" s="15" t="str">
        <f t="shared" si="8"/>
        <v/>
      </c>
    </row>
    <row r="21" spans="1:109" ht="15" customHeight="1" x14ac:dyDescent="0.25">
      <c r="A21" s="16"/>
      <c r="B21" s="8" t="str">
        <f>IF(COUNTA(C3,D3,E3,F3,G3,H3,I3,J3,K3,L3,M3,N3,O3,P3,Q3)=0,"",COUNTA(C3,D3,E3,F3,G3,H3,I3,J3,K3,L3,M3,N3,O3,P3,Q3))</f>
        <v/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9">
        <f t="shared" si="0"/>
        <v>0</v>
      </c>
      <c r="S21" s="8" t="str">
        <f>IF(COUNTA(T3,U3,V3,W3,X3,Y3,Z3,AA3,AB3,AC3,AD3,AE3,AF3,AG3,AH3)=0,"",COUNTA(T3,U3,V3,W3,X3,Y3,Z3,AA3,AB3,AC3,AD3,AE3,AF3,AG3,AH3))</f>
        <v/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9">
        <f t="shared" si="1"/>
        <v>0</v>
      </c>
      <c r="AJ21" s="9" t="str">
        <f>IF(COUNTA(AK3,AN3,AQ3,AT3,AW3,AZ3,BC3,BF3,BI3,BL3,BO3,BR3,BU3,BX3,CA3,CD3,CG3,CJ3,CM3,CP3)=0,"",COUNTA(AK3,AN3,AQ3,AT3,AW3,AZ3,BC3,BF3,BI3,BL3,BO3,BR3,BU3,BX3,CA3,CD3,CG3,CJ3,CM3,CP3))</f>
        <v/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9">
        <f t="shared" si="2"/>
        <v>0</v>
      </c>
      <c r="CT21" s="9">
        <f t="shared" si="3"/>
        <v>0</v>
      </c>
      <c r="CU21" s="9">
        <f t="shared" si="4"/>
        <v>0</v>
      </c>
      <c r="CV21" s="9">
        <f t="shared" si="5"/>
        <v>0</v>
      </c>
      <c r="CW21" s="10"/>
      <c r="CX21" s="10"/>
      <c r="CY21" s="11"/>
      <c r="CZ21" s="12">
        <f t="shared" si="6"/>
        <v>0</v>
      </c>
      <c r="DA21" s="13">
        <f t="shared" si="7"/>
        <v>0</v>
      </c>
      <c r="DB21" s="14" t="str">
        <f t="shared" si="9"/>
        <v xml:space="preserve"> </v>
      </c>
      <c r="DE21" s="15" t="str">
        <f t="shared" si="8"/>
        <v/>
      </c>
    </row>
    <row r="22" spans="1:109" ht="15" customHeight="1" x14ac:dyDescent="0.25">
      <c r="A22" s="7"/>
      <c r="B22" s="8" t="str">
        <f>IF(COUNTA(C3,D3,E3,F3,G3,H3,I3,J3,K3,L3,M3,N3,O3,P3,Q3)=0,"",COUNTA(C3,D3,E3,F3,G3,H3,I3,J3,K3,L3,M3,N3,O3,P3,Q3))</f>
        <v/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9">
        <f t="shared" si="0"/>
        <v>0</v>
      </c>
      <c r="S22" s="8" t="str">
        <f>IF(COUNTA(T3,U3,V3,W3,X3,Y3,Z3,AA3,AB3,AC3,AD3,AE3,AF3,AG3,AH3)=0,"",COUNTA(T3,U3,V3,W3,X3,Y3,Z3,AA3,AB3,AC3,AD3,AE3,AF3,AG3,AH3))</f>
        <v/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9">
        <f t="shared" si="1"/>
        <v>0</v>
      </c>
      <c r="AJ22" s="9" t="str">
        <f>IF(COUNTA(AK3,AN3,AQ3,AT3,AW3,AZ3,BC3,BF3,BI3,BL3,BO3,BR3,BU3,BX3,CA3,CD3,CG3,CJ3,CM3,CP3)=0,"",COUNTA(AK3,AN3,AQ3,AT3,AW3,AZ3,BC3,BF3,BI3,BL3,BO3,BR3,BU3,BX3,CA3,CD3,CG3,CJ3,CM3,CP3))</f>
        <v/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9">
        <f t="shared" si="2"/>
        <v>0</v>
      </c>
      <c r="CT22" s="9">
        <f t="shared" si="3"/>
        <v>0</v>
      </c>
      <c r="CU22" s="9">
        <f t="shared" si="4"/>
        <v>0</v>
      </c>
      <c r="CV22" s="9">
        <f t="shared" si="5"/>
        <v>0</v>
      </c>
      <c r="CW22" s="10"/>
      <c r="CX22" s="10"/>
      <c r="CY22" s="11"/>
      <c r="CZ22" s="12">
        <f t="shared" si="6"/>
        <v>0</v>
      </c>
      <c r="DA22" s="13">
        <f t="shared" si="7"/>
        <v>0</v>
      </c>
      <c r="DB22" s="14" t="str">
        <f t="shared" si="9"/>
        <v xml:space="preserve"> </v>
      </c>
      <c r="DE22" s="15" t="str">
        <f t="shared" si="8"/>
        <v/>
      </c>
    </row>
    <row r="23" spans="1:109" ht="15" customHeight="1" x14ac:dyDescent="0.25">
      <c r="A23" s="16"/>
      <c r="B23" s="8" t="str">
        <f>IF(COUNTA(C3,D3,E3,F3,G3,H3,I3,J3,K3,L3,M3,N3,O3,P3,Q3)=0,"",COUNTA(C3,D3,E3,F3,G3,H3,I3,J3,K3,L3,M3,N3,O3,P3,Q3))</f>
        <v/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9">
        <f t="shared" si="0"/>
        <v>0</v>
      </c>
      <c r="S23" s="8" t="str">
        <f>IF(COUNTA(T3,U3,V3,W3,X3,Y3,Z3,AA3,AB3,AC3,AD3,AE3,AF3,AG3,AH3)=0,"",COUNTA(T3,U3,V3,W3,X3,Y3,Z3,AA3,AB3,AC3,AD3,AE3,AF3,AG3,AH3))</f>
        <v/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9">
        <f t="shared" si="1"/>
        <v>0</v>
      </c>
      <c r="AJ23" s="9" t="str">
        <f>IF(COUNTA(AK3,AN3,AQ3,AT3,AW3,AZ3,BC3,BF3,BI3,BL3,BO3,BR3,BU3,BX3,CA3,CD3,CG3,CJ3,CM3,CP3)=0,"",COUNTA(AK3,AN3,AQ3,AT3,AW3,AZ3,BC3,BF3,BI3,BL3,BO3,BR3,BU3,BX3,CA3,CD3,CG3,CJ3,CM3,CP3))</f>
        <v/>
      </c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9">
        <f t="shared" si="2"/>
        <v>0</v>
      </c>
      <c r="CT23" s="9">
        <f t="shared" si="3"/>
        <v>0</v>
      </c>
      <c r="CU23" s="9">
        <f t="shared" si="4"/>
        <v>0</v>
      </c>
      <c r="CV23" s="9">
        <f t="shared" si="5"/>
        <v>0</v>
      </c>
      <c r="CW23" s="10"/>
      <c r="CX23" s="10"/>
      <c r="CY23" s="11"/>
      <c r="CZ23" s="12">
        <f t="shared" si="6"/>
        <v>0</v>
      </c>
      <c r="DA23" s="13">
        <f t="shared" si="7"/>
        <v>0</v>
      </c>
      <c r="DB23" s="14" t="str">
        <f t="shared" si="9"/>
        <v xml:space="preserve"> </v>
      </c>
      <c r="DE23" s="15" t="str">
        <f t="shared" si="8"/>
        <v/>
      </c>
    </row>
    <row r="24" spans="1:109" ht="15" customHeight="1" x14ac:dyDescent="0.25">
      <c r="A24" s="7"/>
      <c r="B24" s="8" t="str">
        <f>IF(COUNTA(C3,D3,E3,F3,G3,H3,I3,J3,K3,L3,M3,N3,O3,P3,Q3)=0,"",COUNTA(C3,D3,E3,F3,G3,H3,I3,J3,K3,L3,M3,N3,O3,P3,Q3))</f>
        <v/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9">
        <f t="shared" si="0"/>
        <v>0</v>
      </c>
      <c r="S24" s="8" t="str">
        <f>IF(COUNTA(T3,U3,V3,W3,X3,Y3,Z3,AA3,AB3,AC3,AD3,AE3,AF3,AG3,AH3)=0,"",COUNTA(T3,U3,V3,W3,X3,Y3,Z3,AA3,AB3,AC3,AD3,AE3,AF3,AG3,AH3))</f>
        <v/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9">
        <f t="shared" si="1"/>
        <v>0</v>
      </c>
      <c r="AJ24" s="9" t="str">
        <f>IF(COUNTA(AK3,AN3,AQ3,AT3,AW3,AZ3,BC3,BF3,BI3,BL3,BO3,BR3,BU3,BX3,CA3,CD3,CG3,CJ3,CM3,CP3)=0,"",COUNTA(AK3,AN3,AQ3,AT3,AW3,AZ3,BC3,BF3,BI3,BL3,BO3,BR3,BU3,BX3,CA3,CD3,CG3,CJ3,CM3,CP3))</f>
        <v/>
      </c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9">
        <f t="shared" si="2"/>
        <v>0</v>
      </c>
      <c r="CT24" s="9">
        <f t="shared" si="3"/>
        <v>0</v>
      </c>
      <c r="CU24" s="9">
        <f t="shared" si="4"/>
        <v>0</v>
      </c>
      <c r="CV24" s="9">
        <f t="shared" si="5"/>
        <v>0</v>
      </c>
      <c r="CW24" s="10"/>
      <c r="CX24" s="10"/>
      <c r="CY24" s="11"/>
      <c r="CZ24" s="12">
        <f t="shared" si="6"/>
        <v>0</v>
      </c>
      <c r="DA24" s="13">
        <f t="shared" si="7"/>
        <v>0</v>
      </c>
      <c r="DB24" s="14" t="str">
        <f t="shared" si="9"/>
        <v xml:space="preserve"> </v>
      </c>
      <c r="DE24" s="15" t="str">
        <f t="shared" si="8"/>
        <v/>
      </c>
    </row>
    <row r="25" spans="1:109" ht="15" customHeight="1" x14ac:dyDescent="0.25">
      <c r="A25" s="16"/>
      <c r="B25" s="8" t="str">
        <f>IF(COUNTA(C3,D3,E3,F3,G3,H3,I3,J3,K3,L3,M3,N3,O3,P3,Q3)=0,"",COUNTA(C3,D3,E3,F3,G3,H3,I3,J3,K3,L3,M3,N3,O3,P3,Q3))</f>
        <v/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9">
        <f t="shared" si="0"/>
        <v>0</v>
      </c>
      <c r="S25" s="8" t="str">
        <f>IF(COUNTA(T3,U3,V3,W3,X3,Y3,Z3,AA3,AB3,AC3,AD3,AE3,AF3,AG3,AH3)=0,"",COUNTA(T3,U3,V3,W3,X3,Y3,Z3,AA3,AB3,AC3,AD3,AE3,AF3,AG3,AH3))</f>
        <v/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9">
        <f t="shared" si="1"/>
        <v>0</v>
      </c>
      <c r="AJ25" s="9" t="str">
        <f>IF(COUNTA(AK3,AN3,AQ3,AT3,AW3,AZ3,BC3,BF3,BI3,BL3,BO3,BR3,BU3,BX3,CA3,CD3,CG3,CJ3,CM3,CP3)=0,"",COUNTA(AK3,AN3,AQ3,AT3,AW3,AZ3,BC3,BF3,BI3,BL3,BO3,BR3,BU3,BX3,CA3,CD3,CG3,CJ3,CM3,CP3))</f>
        <v/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9">
        <f t="shared" si="2"/>
        <v>0</v>
      </c>
      <c r="CT25" s="9">
        <f t="shared" si="3"/>
        <v>0</v>
      </c>
      <c r="CU25" s="9">
        <f t="shared" si="4"/>
        <v>0</v>
      </c>
      <c r="CV25" s="9">
        <f t="shared" si="5"/>
        <v>0</v>
      </c>
      <c r="CW25" s="10"/>
      <c r="CX25" s="10"/>
      <c r="CY25" s="11"/>
      <c r="CZ25" s="12">
        <f t="shared" si="6"/>
        <v>0</v>
      </c>
      <c r="DA25" s="13">
        <f t="shared" si="7"/>
        <v>0</v>
      </c>
      <c r="DB25" s="14" t="str">
        <f t="shared" si="9"/>
        <v xml:space="preserve"> </v>
      </c>
      <c r="DE25" s="15" t="str">
        <f t="shared" si="8"/>
        <v/>
      </c>
    </row>
    <row r="26" spans="1:109" ht="15" customHeight="1" x14ac:dyDescent="0.25">
      <c r="A26" s="7"/>
      <c r="B26" s="8" t="str">
        <f>IF(COUNTA(C3,D3,E3,F3,G3,H3,I3,J3,K3,L3,M3,N3,O3,P3,Q3)=0,"",COUNTA(C3,D3,E3,F3,G3,H3,I3,J3,K3,L3,M3,N3,O3,P3,Q3))</f>
        <v/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9">
        <f t="shared" si="0"/>
        <v>0</v>
      </c>
      <c r="S26" s="8" t="str">
        <f>IF(COUNTA(T3,U3,V3,W3,X3,Y3,Z3,AA3,AB3,AC3,AD3,AE3,AF3,AG3,AH3)=0,"",COUNTA(T3,U3,V3,W3,X3,Y3,Z3,AA3,AB3,AC3,AD3,AE3,AF3,AG3,AH3))</f>
        <v/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9">
        <f t="shared" si="1"/>
        <v>0</v>
      </c>
      <c r="AJ26" s="9" t="str">
        <f>IF(COUNTA(AK3,AN3,AQ3,AT3,AW3,AZ3,BC3,BF3,BI3,BL3,BO3,BR3,BU3,BX3,CA3,CD3,CG3,CJ3,CM3,CP3)=0,"",COUNTA(AK3,AN3,AQ3,AT3,AW3,AZ3,BC3,BF3,BI3,BL3,BO3,BR3,BU3,BX3,CA3,CD3,CG3,CJ3,CM3,CP3))</f>
        <v/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9">
        <f t="shared" si="2"/>
        <v>0</v>
      </c>
      <c r="CT26" s="9">
        <f t="shared" si="3"/>
        <v>0</v>
      </c>
      <c r="CU26" s="9">
        <f t="shared" si="4"/>
        <v>0</v>
      </c>
      <c r="CV26" s="9">
        <f t="shared" si="5"/>
        <v>0</v>
      </c>
      <c r="CW26" s="10"/>
      <c r="CX26" s="10"/>
      <c r="CY26" s="11"/>
      <c r="CZ26" s="12">
        <f t="shared" si="6"/>
        <v>0</v>
      </c>
      <c r="DA26" s="13">
        <f t="shared" si="7"/>
        <v>0</v>
      </c>
      <c r="DB26" s="14" t="str">
        <f t="shared" si="9"/>
        <v xml:space="preserve"> </v>
      </c>
      <c r="DE26" s="15" t="str">
        <f t="shared" si="8"/>
        <v/>
      </c>
    </row>
    <row r="27" spans="1:109" ht="15" customHeight="1" x14ac:dyDescent="0.25">
      <c r="A27" s="16"/>
      <c r="B27" s="8" t="str">
        <f>IF(COUNTA(C3,D3,E3,F3,G3,H3,I3,J3,K3,L3,M3,N3,O3,P3,Q3)=0,"",COUNTA(C3,D3,E3,F3,G3,H3,I3,J3,K3,L3,M3,N3,O3,P3,Q3))</f>
        <v/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9">
        <f t="shared" si="0"/>
        <v>0</v>
      </c>
      <c r="S27" s="8" t="str">
        <f>IF(COUNTA(T3,U3,V3,W3,X3,Y3,Z3,AA3,AB3,AC3,AD3,AE3,AF3,AG3,AH3)=0,"",COUNTA(T3,U3,V3,W3,X3,Y3,Z3,AA3,AB3,AC3,AD3,AE3,AF3,AG3,AH3))</f>
        <v/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9">
        <f t="shared" si="1"/>
        <v>0</v>
      </c>
      <c r="AJ27" s="9" t="str">
        <f>IF(COUNTA(AK3,AN3,AQ3,AT3,AW3,AZ3,BC3,BF3,BI3,BL3,BO3,BR3,BU3,BX3,CA3,CD3,CG3,CJ3,CM3,CP3)=0,"",COUNTA(AK3,AN3,AQ3,AT3,AW3,AZ3,BC3,BF3,BI3,BL3,BO3,BR3,BU3,BX3,CA3,CD3,CG3,CJ3,CM3,CP3))</f>
        <v/>
      </c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9">
        <f t="shared" si="2"/>
        <v>0</v>
      </c>
      <c r="CT27" s="9">
        <f t="shared" si="3"/>
        <v>0</v>
      </c>
      <c r="CU27" s="9">
        <f t="shared" si="4"/>
        <v>0</v>
      </c>
      <c r="CV27" s="9">
        <f t="shared" si="5"/>
        <v>0</v>
      </c>
      <c r="CW27" s="10"/>
      <c r="CX27" s="10"/>
      <c r="CY27" s="11"/>
      <c r="CZ27" s="12">
        <f t="shared" si="6"/>
        <v>0</v>
      </c>
      <c r="DA27" s="13">
        <f t="shared" si="7"/>
        <v>0</v>
      </c>
      <c r="DB27" s="14" t="str">
        <f t="shared" si="9"/>
        <v xml:space="preserve"> </v>
      </c>
      <c r="DE27" s="15" t="str">
        <f t="shared" si="8"/>
        <v/>
      </c>
    </row>
    <row r="28" spans="1:109" ht="15" customHeight="1" x14ac:dyDescent="0.25">
      <c r="A28" s="7"/>
      <c r="B28" s="8" t="str">
        <f>IF(COUNTA(C3,D3,E3,F3,G3,H3,I3,J3,K3,L3,M3,N3,O3,P3,Q3)=0,"",COUNTA(C3,D3,E3,F3,G3,H3,I3,J3,K3,L3,M3,N3,O3,P3,Q3))</f>
        <v/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9">
        <f t="shared" si="0"/>
        <v>0</v>
      </c>
      <c r="S28" s="8" t="str">
        <f>IF(COUNTA(T3,U3,V3,W3,X3,Y3,Z3,AA3,AB3,AC3,AD3,AE3,AF3,AG3,AH3)=0,"",COUNTA(T3,U3,V3,W3,X3,Y3,Z3,AA3,AB3,AC3,AD3,AE3,AF3,AG3,AH3))</f>
        <v/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9">
        <f t="shared" si="1"/>
        <v>0</v>
      </c>
      <c r="AJ28" s="9" t="str">
        <f>IF(COUNTA(AK3,AN3,AQ3,AT3,AW3,AZ3,BC3,BF3,BI3,BL3,BO3,BR3,BU3,BX3,CA3,CD3,CG3,CJ3,CM3,CP3)=0,"",COUNTA(AK3,AN3,AQ3,AT3,AW3,AZ3,BC3,BF3,BI3,BL3,BO3,BR3,BU3,BX3,CA3,CD3,CG3,CJ3,CM3,CP3))</f>
        <v/>
      </c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9">
        <f t="shared" si="2"/>
        <v>0</v>
      </c>
      <c r="CT28" s="9">
        <f t="shared" si="3"/>
        <v>0</v>
      </c>
      <c r="CU28" s="9">
        <f t="shared" si="4"/>
        <v>0</v>
      </c>
      <c r="CV28" s="9">
        <f t="shared" si="5"/>
        <v>0</v>
      </c>
      <c r="CW28" s="10"/>
      <c r="CX28" s="10"/>
      <c r="CY28" s="11"/>
      <c r="CZ28" s="12">
        <f t="shared" si="6"/>
        <v>0</v>
      </c>
      <c r="DA28" s="13">
        <f t="shared" si="7"/>
        <v>0</v>
      </c>
      <c r="DB28" s="14" t="str">
        <f t="shared" si="9"/>
        <v xml:space="preserve"> </v>
      </c>
      <c r="DE28" s="15" t="str">
        <f t="shared" si="8"/>
        <v/>
      </c>
    </row>
    <row r="29" spans="1:109" ht="15" customHeight="1" x14ac:dyDescent="0.25">
      <c r="A29" s="16"/>
      <c r="B29" s="8" t="str">
        <f>IF(COUNTA(C3,D3,E3,F3,G3,H3,I3,J3,K3,L3,M3,N3,O3,P3,Q3)=0,"",COUNTA(C3,D3,E3,F3,G3,H3,I3,J3,K3,L3,M3,N3,O3,P3,Q3))</f>
        <v/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9">
        <f t="shared" si="0"/>
        <v>0</v>
      </c>
      <c r="S29" s="8" t="str">
        <f>IF(COUNTA(T3,U3,V3,W3,X3,Y3,Z3,AA3,AB3,AC3,AD3,AE3,AF3,AG3,AH3)=0,"",COUNTA(T3,U3,V3,W3,X3,Y3,Z3,AA3,AB3,AC3,AD3,AE3,AF3,AG3,AH3))</f>
        <v/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9">
        <f t="shared" si="1"/>
        <v>0</v>
      </c>
      <c r="AJ29" s="9" t="str">
        <f>IF(COUNTA(AK3,AN3,AQ3,AT3,AW3,AZ3,BC3,BF3,BI3,BL3,BO3,BR3,BU3,BX3,CA3,CD3,CG3,CJ3,CM3,CP3)=0,"",COUNTA(AK3,AN3,AQ3,AT3,AW3,AZ3,BC3,BF3,BI3,BL3,BO3,BR3,BU3,BX3,CA3,CD3,CG3,CJ3,CM3,CP3))</f>
        <v/>
      </c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9">
        <f t="shared" si="2"/>
        <v>0</v>
      </c>
      <c r="CT29" s="9">
        <f t="shared" si="3"/>
        <v>0</v>
      </c>
      <c r="CU29" s="9">
        <f t="shared" si="4"/>
        <v>0</v>
      </c>
      <c r="CV29" s="9">
        <f t="shared" si="5"/>
        <v>0</v>
      </c>
      <c r="CW29" s="10"/>
      <c r="CX29" s="10"/>
      <c r="CY29" s="11"/>
      <c r="CZ29" s="12">
        <f t="shared" si="6"/>
        <v>0</v>
      </c>
      <c r="DA29" s="13">
        <f t="shared" si="7"/>
        <v>0</v>
      </c>
      <c r="DB29" s="14" t="str">
        <f t="shared" si="9"/>
        <v xml:space="preserve"> </v>
      </c>
      <c r="DE29" s="15" t="str">
        <f t="shared" si="8"/>
        <v/>
      </c>
    </row>
    <row r="30" spans="1:109" ht="15" customHeight="1" x14ac:dyDescent="0.25">
      <c r="A30" s="7"/>
      <c r="B30" s="8" t="str">
        <f>IF(COUNTA(C3,D3,E3,F3,G3,H3,I3,J3,K3,L3,M3,N3,O3,P3,Q3)=0,"",COUNTA(C3,D3,E3,F3,G3,H3,I3,J3,K3,L3,M3,N3,O3,P3,Q3))</f>
        <v/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9">
        <f t="shared" si="0"/>
        <v>0</v>
      </c>
      <c r="S30" s="8" t="str">
        <f>IF(COUNTA(T3,U3,V3,W3,X3,Y3,Z3,AA3,AB3,AC3,AD3,AE3,AF3,AG3,AH3)=0,"",COUNTA(T3,U3,V3,W3,X3,Y3,Z3,AA3,AB3,AC3,AD3,AE3,AF3,AG3,AH3))</f>
        <v/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9">
        <f t="shared" si="1"/>
        <v>0</v>
      </c>
      <c r="AJ30" s="9" t="str">
        <f>IF(COUNTA(AK3,AN3,AQ3,AT3,AW3,AZ3,BC3,BF3,BI3,BL3,BO3,BR3,BU3,BX3,CA3,CD3,CG3,CJ3,CM3,CP3)=0,"",COUNTA(AK3,AN3,AQ3,AT3,AW3,AZ3,BC3,BF3,BI3,BL3,BO3,BR3,BU3,BX3,CA3,CD3,CG3,CJ3,CM3,CP3))</f>
        <v/>
      </c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9">
        <f t="shared" si="2"/>
        <v>0</v>
      </c>
      <c r="CT30" s="9">
        <f t="shared" si="3"/>
        <v>0</v>
      </c>
      <c r="CU30" s="9">
        <f t="shared" si="4"/>
        <v>0</v>
      </c>
      <c r="CV30" s="9">
        <f t="shared" si="5"/>
        <v>0</v>
      </c>
      <c r="CW30" s="10"/>
      <c r="CX30" s="10"/>
      <c r="CY30" s="11"/>
      <c r="CZ30" s="12">
        <f t="shared" si="6"/>
        <v>0</v>
      </c>
      <c r="DA30" s="13">
        <f t="shared" si="7"/>
        <v>0</v>
      </c>
      <c r="DB30" s="14" t="str">
        <f t="shared" si="9"/>
        <v xml:space="preserve"> </v>
      </c>
      <c r="DE30" s="15" t="str">
        <f t="shared" si="8"/>
        <v/>
      </c>
    </row>
    <row r="31" spans="1:109" ht="15" customHeight="1" x14ac:dyDescent="0.25">
      <c r="A31" s="16"/>
      <c r="B31" s="8" t="str">
        <f>IF(COUNTA(C3,D3,E3,F3,G3,H3,I3,J3,K3,L3,M3,N3,O3,P3,Q3)=0,"",COUNTA(C3,D3,E3,F3,G3,H3,I3,J3,K3,L3,M3,N3,O3,P3,Q3))</f>
        <v/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9">
        <f t="shared" si="0"/>
        <v>0</v>
      </c>
      <c r="S31" s="8" t="str">
        <f>IF(COUNTA(T3,U3,V3,W3,X3,Y3,Z3,AA3,AB3,AC3,AD3,AE3,AF3,AG3,AH3)=0,"",COUNTA(T3,U3,V3,W3,X3,Y3,Z3,AA3,AB3,AC3,AD3,AE3,AF3,AG3,AH3))</f>
        <v/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9">
        <f t="shared" si="1"/>
        <v>0</v>
      </c>
      <c r="AJ31" s="9" t="str">
        <f>IF(COUNTA(AK3,AN3,AQ3,AT3,AW3,AZ3,BC3,BF3,BI3,BL3,BO3,BR3,BU3,BX3,CA3,CD3,CG3,CJ3,CM3,CP3)=0,"",COUNTA(AK3,AN3,AQ3,AT3,AW3,AZ3,BC3,BF3,BI3,BL3,BO3,BR3,BU3,BX3,CA3,CD3,CG3,CJ3,CM3,CP3))</f>
        <v/>
      </c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9">
        <f t="shared" si="2"/>
        <v>0</v>
      </c>
      <c r="CT31" s="9">
        <f t="shared" si="3"/>
        <v>0</v>
      </c>
      <c r="CU31" s="9">
        <f t="shared" si="4"/>
        <v>0</v>
      </c>
      <c r="CV31" s="9">
        <f t="shared" si="5"/>
        <v>0</v>
      </c>
      <c r="CW31" s="10"/>
      <c r="CX31" s="10"/>
      <c r="CY31" s="11"/>
      <c r="CZ31" s="12">
        <f t="shared" si="6"/>
        <v>0</v>
      </c>
      <c r="DA31" s="13">
        <f t="shared" si="7"/>
        <v>0</v>
      </c>
      <c r="DB31" s="14" t="str">
        <f t="shared" si="9"/>
        <v xml:space="preserve"> </v>
      </c>
      <c r="DE31" s="15" t="str">
        <f t="shared" si="8"/>
        <v/>
      </c>
    </row>
    <row r="32" spans="1:109" ht="15" customHeight="1" x14ac:dyDescent="0.25">
      <c r="A32" s="16"/>
      <c r="B32" s="8" t="str">
        <f>IF(COUNTA(C3,D3,E3,F3,G3,H3,I3,J3,K3,L3,M3,N3,O3,P3,Q3)=0,"",COUNTA(C3,D3,E3,F3,G3,H3,I3,J3,K3,L3,M3,N3,O3,P3,Q3))</f>
        <v/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9">
        <f t="shared" si="0"/>
        <v>0</v>
      </c>
      <c r="S32" s="8" t="str">
        <f>IF(COUNTA(T3,U3,V3,W3,X3,Y3,Z3,AA3,AB3,AC3,AD3,AE3,AF3,AG3,AH3)=0,"",COUNTA(T3,U3,V3,W3,X3,Y3,Z3,AA3,AB3,AC3,AD3,AE3,AF3,AG3,AH3))</f>
        <v/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9">
        <f t="shared" si="1"/>
        <v>0</v>
      </c>
      <c r="AJ32" s="9" t="str">
        <f>IF(COUNTA(AK3,AN3,AQ3,AT3,AW3,AZ3,BC3,BF3,BI3,BL3,BO3,BR3,BU3,BX3,CA3,CD3,CG3,CJ3,CM3,CP3)=0,"",COUNTA(AK3,AN3,AQ3,AT3,AW3,AZ3,BC3,BF3,BI3,BL3,BO3,BR3,BU3,BX3,CA3,CD3,CG3,CJ3,CM3,CP3))</f>
        <v/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9">
        <f t="shared" si="2"/>
        <v>0</v>
      </c>
      <c r="CT32" s="9">
        <f t="shared" si="3"/>
        <v>0</v>
      </c>
      <c r="CU32" s="9">
        <f t="shared" si="4"/>
        <v>0</v>
      </c>
      <c r="CV32" s="9">
        <f t="shared" si="5"/>
        <v>0</v>
      </c>
      <c r="CW32" s="10"/>
      <c r="CX32" s="10"/>
      <c r="CY32" s="11"/>
      <c r="CZ32" s="12">
        <f t="shared" si="6"/>
        <v>0</v>
      </c>
      <c r="DA32" s="13">
        <f t="shared" si="7"/>
        <v>0</v>
      </c>
      <c r="DB32" s="14" t="str">
        <f t="shared" si="9"/>
        <v xml:space="preserve"> </v>
      </c>
      <c r="DE32" s="15" t="str">
        <f t="shared" si="8"/>
        <v/>
      </c>
    </row>
    <row r="33" spans="1:109" ht="15" customHeight="1" x14ac:dyDescent="0.25">
      <c r="A33" s="7"/>
      <c r="B33" s="8" t="str">
        <f>IF(COUNTA(C3,D3,E3,F3,G3,H3,I3,J3,K3,L3,M3,N3,O3,P3,Q3)=0,"",COUNTA(C3,D3,E3,F3,G3,H3,I3,J3,K3,L3,M3,N3,O3,P3,Q3))</f>
        <v/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9">
        <f t="shared" si="0"/>
        <v>0</v>
      </c>
      <c r="S33" s="8" t="str">
        <f>IF(COUNTA(T3,U3,V3,W3,X3,Y3,Z3,AA3,AB3,AC3,AD3,AE3,AF3,AG3,AH3)=0,"",COUNTA(T3,U3,V3,W3,X3,Y3,Z3,AA3,AB3,AC3,AD3,AE3,AF3,AG3,AH3))</f>
        <v/>
      </c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9">
        <f t="shared" si="1"/>
        <v>0</v>
      </c>
      <c r="AJ33" s="9" t="str">
        <f>IF(COUNTA(AK3,AN3,AQ3,AT3,AW3,AZ3,BC3,BF3,BI3,BL3,BO3,BR3,BU3,BX3,CA3,CD3,CG3,CJ3,CM3,CP3)=0,"",COUNTA(AK3,AN3,AQ3,AT3,AW3,AZ3,BC3,BF3,BI3,BL3,BO3,BR3,BU3,BX3,CA3,CD3,CG3,CJ3,CM3,CP3))</f>
        <v/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9">
        <f t="shared" si="2"/>
        <v>0</v>
      </c>
      <c r="CT33" s="9">
        <f t="shared" si="3"/>
        <v>0</v>
      </c>
      <c r="CU33" s="9">
        <f t="shared" si="4"/>
        <v>0</v>
      </c>
      <c r="CV33" s="9">
        <f t="shared" si="5"/>
        <v>0</v>
      </c>
      <c r="CW33" s="10"/>
      <c r="CX33" s="10"/>
      <c r="CY33" s="11"/>
      <c r="CZ33" s="12">
        <f t="shared" si="6"/>
        <v>0</v>
      </c>
      <c r="DA33" s="13">
        <f t="shared" si="7"/>
        <v>0</v>
      </c>
      <c r="DB33" s="14" t="str">
        <f t="shared" si="9"/>
        <v xml:space="preserve"> </v>
      </c>
      <c r="DE33" s="15" t="str">
        <f t="shared" si="8"/>
        <v/>
      </c>
    </row>
    <row r="34" spans="1:109" ht="15" customHeight="1" x14ac:dyDescent="0.25">
      <c r="A34" s="16"/>
      <c r="B34" s="8" t="str">
        <f>IF(COUNTA(C3,D3,E3,F3,G3,H3,I3,J3,K3,L3,M3,N3,O3,P3,Q3)=0,"",COUNTA(C3,D3,E3,F3,G3,H3,I3,J3,K3,L3,M3,N3,O3,P3,Q3))</f>
        <v/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9">
        <f t="shared" si="0"/>
        <v>0</v>
      </c>
      <c r="S34" s="8" t="str">
        <f>IF(COUNTA(T3,U3,V3,W3,X3,Y3,Z3,AA3,AB3,AC3,AD3,AE3,AF3,AG3,AH3)=0,"",COUNTA(T3,U3,V3,W3,X3,Y3,Z3,AA3,AB3,AC3,AD3,AE3,AF3,AG3,AH3))</f>
        <v/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9">
        <f t="shared" si="1"/>
        <v>0</v>
      </c>
      <c r="AJ34" s="9" t="str">
        <f>IF(COUNTA(AK3,AN3,AQ3,AT3,AW3,AZ3,BC3,BF3,BI3,BL3,BO3,BR3,BU3,BX3,CA3,CD3,CG3,CJ3,CM3,CP3)=0,"",COUNTA(AK3,AN3,AQ3,AT3,AW3,AZ3,BC3,BF3,BI3,BL3,BO3,BR3,BU3,BX3,CA3,CD3,CG3,CJ3,CM3,CP3))</f>
        <v/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9">
        <f t="shared" si="2"/>
        <v>0</v>
      </c>
      <c r="CT34" s="9">
        <f t="shared" si="3"/>
        <v>0</v>
      </c>
      <c r="CU34" s="9">
        <f t="shared" si="4"/>
        <v>0</v>
      </c>
      <c r="CV34" s="9">
        <f t="shared" si="5"/>
        <v>0</v>
      </c>
      <c r="CW34" s="10"/>
      <c r="CX34" s="10"/>
      <c r="CY34" s="11"/>
      <c r="CZ34" s="12">
        <f t="shared" si="6"/>
        <v>0</v>
      </c>
      <c r="DA34" s="13">
        <f t="shared" si="7"/>
        <v>0</v>
      </c>
      <c r="DB34" s="14" t="str">
        <f t="shared" si="9"/>
        <v xml:space="preserve"> </v>
      </c>
      <c r="DE34" s="15" t="str">
        <f t="shared" si="8"/>
        <v/>
      </c>
    </row>
    <row r="35" spans="1:109" ht="15" customHeight="1" x14ac:dyDescent="0.25">
      <c r="A35" s="7"/>
      <c r="B35" s="8" t="str">
        <f>IF(COUNTA(C3,D3,E3,F3,G3,H3,I3,J3,K3,L3,M3,N3,O3,P3,Q3)=0,"",COUNTA(C3,D3,E3,F3,G3,H3,I3,J3,K3,L3,M3,N3,O3,P3,Q3))</f>
        <v/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9">
        <f t="shared" si="0"/>
        <v>0</v>
      </c>
      <c r="S35" s="8" t="str">
        <f>IF(COUNTA(T3,U3,V3,W3,X3,Y3,Z3,AA3,AB3,AC3,AD3,AE3,AF3,AG3,AH3)=0,"",COUNTA(T3,U3,V3,W3,X3,Y3,Z3,AA3,AB3,AC3,AD3,AE3,AF3,AG3,AH3))</f>
        <v/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9">
        <f t="shared" si="1"/>
        <v>0</v>
      </c>
      <c r="AJ35" s="9" t="str">
        <f>IF(COUNTA(AK3,AN3,AQ3,AT3,AW3,AZ3,BC3,BF3,BI3,BL3,BO3,BR3,BU3,BX3,CA3,CD3,CG3,CJ3,CM3,CP3)=0,"",COUNTA(AK3,AN3,AQ3,AT3,AW3,AZ3,BC3,BF3,BI3,BL3,BO3,BR3,BU3,BX3,CA3,CD3,CG3,CJ3,CM3,CP3))</f>
        <v/>
      </c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9">
        <f t="shared" si="2"/>
        <v>0</v>
      </c>
      <c r="CT35" s="9">
        <f t="shared" si="3"/>
        <v>0</v>
      </c>
      <c r="CU35" s="9">
        <f t="shared" si="4"/>
        <v>0</v>
      </c>
      <c r="CV35" s="9">
        <f t="shared" si="5"/>
        <v>0</v>
      </c>
      <c r="CW35" s="10"/>
      <c r="CX35" s="10"/>
      <c r="CY35" s="11"/>
      <c r="CZ35" s="12">
        <f t="shared" si="6"/>
        <v>0</v>
      </c>
      <c r="DA35" s="13">
        <f t="shared" si="7"/>
        <v>0</v>
      </c>
      <c r="DB35" s="14" t="str">
        <f t="shared" si="9"/>
        <v xml:space="preserve"> </v>
      </c>
      <c r="DE35" s="15" t="str">
        <f t="shared" si="8"/>
        <v/>
      </c>
    </row>
    <row r="36" spans="1:109" ht="15" customHeight="1" x14ac:dyDescent="0.25">
      <c r="A36" s="16"/>
      <c r="B36" s="8" t="str">
        <f>IF(COUNTA(C3,D3,E3,F3,G3,H3,I3,J3,K3,L3,M3,N3,O3,P3,Q3)=0,"",COUNTA(C3,D3,E3,F3,G3,H3,I3,J3,K3,L3,M3,N3,O3,P3,Q3))</f>
        <v/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9">
        <f t="shared" si="0"/>
        <v>0</v>
      </c>
      <c r="S36" s="8" t="str">
        <f>IF(COUNTA(T3,U3,V3,W3,X3,Y3,Z3,AA3,AB3,AC3,AD3,AE3,AF3,AG3,AH3)=0,"",COUNTA(T3,U3,V3,W3,X3,Y3,Z3,AA3,AB3,AC3,AD3,AE3,AF3,AG3,AH3))</f>
        <v/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9">
        <f t="shared" si="1"/>
        <v>0</v>
      </c>
      <c r="AJ36" s="9" t="str">
        <f>IF(COUNTA(AK3,AN3,AQ3,AT3,AW3,AZ3,BC3,BF3,BI3,BL3,BO3,BR3,BU3,BX3,CA3,CD3,CG3,CJ3,CM3,CP3)=0,"",COUNTA(AK3,AN3,AQ3,AT3,AW3,AZ3,BC3,BF3,BI3,BL3,BO3,BR3,BU3,BX3,CA3,CD3,CG3,CJ3,CM3,CP3))</f>
        <v/>
      </c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9">
        <f t="shared" si="2"/>
        <v>0</v>
      </c>
      <c r="CT36" s="9">
        <f t="shared" si="3"/>
        <v>0</v>
      </c>
      <c r="CU36" s="9">
        <f t="shared" si="4"/>
        <v>0</v>
      </c>
      <c r="CV36" s="9">
        <f t="shared" si="5"/>
        <v>0</v>
      </c>
      <c r="CW36" s="10"/>
      <c r="CX36" s="10"/>
      <c r="CY36" s="11"/>
      <c r="CZ36" s="12">
        <f t="shared" si="6"/>
        <v>0</v>
      </c>
      <c r="DA36" s="13">
        <f t="shared" si="7"/>
        <v>0</v>
      </c>
      <c r="DB36" s="14" t="str">
        <f t="shared" si="9"/>
        <v xml:space="preserve"> </v>
      </c>
      <c r="DE36" s="15" t="str">
        <f t="shared" si="8"/>
        <v/>
      </c>
    </row>
    <row r="37" spans="1:109" ht="15" customHeight="1" x14ac:dyDescent="0.25">
      <c r="A37" s="7"/>
      <c r="B37" s="8" t="str">
        <f>IF(COUNTA(C3,D3,E3,F3,G3,H3,I3,J3,K3,L3,M3,N3,O3,P3,Q3)=0,"",COUNTA(C3,D3,E3,F3,G3,H3,I3,J3,K3,L3,M3,N3,O3,P3,Q3))</f>
        <v/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9">
        <f t="shared" ref="R37:R68" si="10">IFERROR(SUM(C37,D37,E37,F37,G37,H37,I37,J37,K37,L37,M37,N37,O37,P37,Q37)/B37*30,0)</f>
        <v>0</v>
      </c>
      <c r="S37" s="8" t="str">
        <f>IF(COUNTA(T3,U3,V3,W3,X3,Y3,Z3,AA3,AB3,AC3,AD3,AE3,AF3,AG3,AH3)=0,"",COUNTA(T3,U3,V3,W3,X3,Y3,Z3,AA3,AB3,AC3,AD3,AE3,AF3,AG3,AH3))</f>
        <v/>
      </c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9">
        <f t="shared" ref="AI37:AI68" si="11">IFERROR(SUM(T37,U37,V37,W37,X37,Y37,Z37,AA37,AB37,AC37,AD37,AE37,AF37,AG37,AH37)/S37*30,0)</f>
        <v>0</v>
      </c>
      <c r="AJ37" s="9" t="str">
        <f>IF(COUNTA(AK3,AN3,AQ3,AT3,AW3,AZ3,BC3,BF3,BI3,BL3,BO3,BR3,BU3,BX3,CA3,CD3,CG3,CJ3,CM3,CP3)=0,"",COUNTA(AK3,AN3,AQ3,AT3,AW3,AZ3,BC3,BF3,BI3,BL3,BO3,BR3,BU3,BX3,CA3,CD3,CG3,CJ3,CM3,CP3))</f>
        <v/>
      </c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9">
        <f t="shared" ref="CS37:CS68" si="12">IFERROR(SUM(AK37,AN37,AQ37,AT37,AW37,AZ37,BC37,BF37,BI37,BL37,BO37,BR37,BU37,BX37,CA37,CD37,CG37,CJ37,CM37,CP37)/AJ37*10,0)</f>
        <v>0</v>
      </c>
      <c r="CT37" s="9">
        <f t="shared" ref="CT37:CT68" si="13">IFERROR(SUM(AL37,AO37,AR37,AU37,AX37,BA37,BD37,BG37,BJ37,BM37,BP37,BS37,BV37,BY37,CB37,CE37,CH37,CK37,CN37,CQ37)/AJ37/5*5,0)</f>
        <v>0</v>
      </c>
      <c r="CU37" s="9">
        <f t="shared" ref="CU37:CU68" si="14">IFERROR(SUM(AM37,AP37,AS37,AV37,AY37,BB37,BE37,BH37,BK37,BN37,BQ37,BT37,BW37,BZ37,CC37,CF37,CI37,CL37,CO37,CR37)/AJ37*5,0)</f>
        <v>0</v>
      </c>
      <c r="CV37" s="9">
        <f t="shared" ref="CV37:CV68" si="15">ROUND(SUM(CS37,CT37,CU37),2)</f>
        <v>0</v>
      </c>
      <c r="CW37" s="10"/>
      <c r="CX37" s="10"/>
      <c r="CY37" s="11"/>
      <c r="CZ37" s="12">
        <f t="shared" ref="CZ37:CZ68" si="16">ROUND(SUM(R37,AI37,CV37,CW37,CX37,CY37),2)</f>
        <v>0</v>
      </c>
      <c r="DA37" s="13">
        <f t="shared" ref="DA37:DA68" si="17">ROUND(CZ37/110*100,1)</f>
        <v>0</v>
      </c>
      <c r="DB37" s="14" t="str">
        <f t="shared" si="9"/>
        <v xml:space="preserve"> </v>
      </c>
      <c r="DE37" s="15" t="str">
        <f t="shared" ref="DE37:DE68" si="18">IF(A37="","",DA37-ROW()/100000000)</f>
        <v/>
      </c>
    </row>
    <row r="38" spans="1:109" ht="15" customHeight="1" x14ac:dyDescent="0.25">
      <c r="A38" s="16"/>
      <c r="B38" s="8" t="str">
        <f>IF(COUNTA(C3,D3,E3,F3,G3,H3,I3,J3,K3,L3,M3,N3,O3,P3,Q3)=0,"",COUNTA(C3,D3,E3,F3,G3,H3,I3,J3,K3,L3,M3,N3,O3,P3,Q3))</f>
        <v/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9">
        <f t="shared" si="10"/>
        <v>0</v>
      </c>
      <c r="S38" s="8" t="str">
        <f>IF(COUNTA(T3,U3,V3,W3,X3,Y3,Z3,AA3,AB3,AC3,AD3,AE3,AF3,AG3,AH3)=0,"",COUNTA(T3,U3,V3,W3,X3,Y3,Z3,AA3,AB3,AC3,AD3,AE3,AF3,AG3,AH3))</f>
        <v/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9">
        <f t="shared" si="11"/>
        <v>0</v>
      </c>
      <c r="AJ38" s="9" t="str">
        <f>IF(COUNTA(AK3,AN3,AQ3,AT3,AW3,AZ3,BC3,BF3,BI3,BL3,BO3,BR3,BU3,BX3,CA3,CD3,CG3,CJ3,CM3,CP3)=0,"",COUNTA(AK3,AN3,AQ3,AT3,AW3,AZ3,BC3,BF3,BI3,BL3,BO3,BR3,BU3,BX3,CA3,CD3,CG3,CJ3,CM3,CP3))</f>
        <v/>
      </c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9">
        <f t="shared" si="12"/>
        <v>0</v>
      </c>
      <c r="CT38" s="9">
        <f t="shared" si="13"/>
        <v>0</v>
      </c>
      <c r="CU38" s="9">
        <f t="shared" si="14"/>
        <v>0</v>
      </c>
      <c r="CV38" s="9">
        <f t="shared" si="15"/>
        <v>0</v>
      </c>
      <c r="CW38" s="10"/>
      <c r="CX38" s="10"/>
      <c r="CY38" s="11"/>
      <c r="CZ38" s="12">
        <f t="shared" si="16"/>
        <v>0</v>
      </c>
      <c r="DA38" s="13">
        <f t="shared" si="17"/>
        <v>0</v>
      </c>
      <c r="DB38" s="14" t="str">
        <f t="shared" si="9"/>
        <v xml:space="preserve"> </v>
      </c>
      <c r="DE38" s="15" t="str">
        <f t="shared" si="18"/>
        <v/>
      </c>
    </row>
    <row r="39" spans="1:109" ht="15" customHeight="1" x14ac:dyDescent="0.25">
      <c r="A39" s="7"/>
      <c r="B39" s="8" t="str">
        <f>IF(COUNTA(C3,D3,E3,F3,G3,H3,I3,J3,K3,L3,M3,N3,O3,P3,Q3)=0,"",COUNTA(C3,D3,E3,F3,G3,H3,I3,J3,K3,L3,M3,N3,O3,P3,Q3))</f>
        <v/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9">
        <f t="shared" si="10"/>
        <v>0</v>
      </c>
      <c r="S39" s="8" t="str">
        <f>IF(COUNTA(T3,U3,V3,W3,X3,Y3,Z3,AA3,AB3,AC3,AD3,AE3,AF3,AG3,AH3)=0,"",COUNTA(T3,U3,V3,W3,X3,Y3,Z3,AA3,AB3,AC3,AD3,AE3,AF3,AG3,AH3))</f>
        <v/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9">
        <f t="shared" si="11"/>
        <v>0</v>
      </c>
      <c r="AJ39" s="9" t="str">
        <f>IF(COUNTA(AK3,AN3,AQ3,AT3,AW3,AZ3,BC3,BF3,BI3,BL3,BO3,BR3,BU3,BX3,CA3,CD3,CG3,CJ3,CM3,CP3)=0,"",COUNTA(AK3,AN3,AQ3,AT3,AW3,AZ3,BC3,BF3,BI3,BL3,BO3,BR3,BU3,BX3,CA3,CD3,CG3,CJ3,CM3,CP3))</f>
        <v/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9">
        <f t="shared" si="12"/>
        <v>0</v>
      </c>
      <c r="CT39" s="9">
        <f t="shared" si="13"/>
        <v>0</v>
      </c>
      <c r="CU39" s="9">
        <f t="shared" si="14"/>
        <v>0</v>
      </c>
      <c r="CV39" s="9">
        <f t="shared" si="15"/>
        <v>0</v>
      </c>
      <c r="CW39" s="10"/>
      <c r="CX39" s="10"/>
      <c r="CY39" s="11"/>
      <c r="CZ39" s="12">
        <f t="shared" si="16"/>
        <v>0</v>
      </c>
      <c r="DA39" s="13">
        <f t="shared" si="17"/>
        <v>0</v>
      </c>
      <c r="DB39" s="14" t="str">
        <f t="shared" si="9"/>
        <v xml:space="preserve"> </v>
      </c>
      <c r="DE39" s="15" t="str">
        <f t="shared" si="18"/>
        <v/>
      </c>
    </row>
    <row r="40" spans="1:109" ht="15" customHeight="1" x14ac:dyDescent="0.25">
      <c r="A40" s="16"/>
      <c r="B40" s="8" t="str">
        <f>IF(COUNTA(C3,D3,E3,F3,G3,H3,I3,J3,K3,L3,M3,N3,O3,P3,Q3)=0,"",COUNTA(C3,D3,E3,F3,G3,H3,I3,J3,K3,L3,M3,N3,O3,P3,Q3))</f>
        <v/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9">
        <f t="shared" si="10"/>
        <v>0</v>
      </c>
      <c r="S40" s="8" t="str">
        <f>IF(COUNTA(T3,U3,V3,W3,X3,Y3,Z3,AA3,AB3,AC3,AD3,AE3,AF3,AG3,AH3)=0,"",COUNTA(T3,U3,V3,W3,X3,Y3,Z3,AA3,AB3,AC3,AD3,AE3,AF3,AG3,AH3))</f>
        <v/>
      </c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9">
        <f t="shared" si="11"/>
        <v>0</v>
      </c>
      <c r="AJ40" s="9" t="str">
        <f>IF(COUNTA(AK3,AN3,AQ3,AT3,AW3,AZ3,BC3,BF3,BI3,BL3,BO3,BR3,BU3,BX3,CA3,CD3,CG3,CJ3,CM3,CP3)=0,"",COUNTA(AK3,AN3,AQ3,AT3,AW3,AZ3,BC3,BF3,BI3,BL3,BO3,BR3,BU3,BX3,CA3,CD3,CG3,CJ3,CM3,CP3))</f>
        <v/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9">
        <f t="shared" si="12"/>
        <v>0</v>
      </c>
      <c r="CT40" s="9">
        <f t="shared" si="13"/>
        <v>0</v>
      </c>
      <c r="CU40" s="9">
        <f t="shared" si="14"/>
        <v>0</v>
      </c>
      <c r="CV40" s="9">
        <f t="shared" si="15"/>
        <v>0</v>
      </c>
      <c r="CW40" s="10"/>
      <c r="CX40" s="10"/>
      <c r="CY40" s="11"/>
      <c r="CZ40" s="12">
        <f t="shared" si="16"/>
        <v>0</v>
      </c>
      <c r="DA40" s="13">
        <f t="shared" si="17"/>
        <v>0</v>
      </c>
      <c r="DB40" s="14" t="str">
        <f t="shared" si="9"/>
        <v xml:space="preserve"> </v>
      </c>
      <c r="DE40" s="15" t="str">
        <f t="shared" si="18"/>
        <v/>
      </c>
    </row>
    <row r="41" spans="1:109" ht="15" customHeight="1" x14ac:dyDescent="0.25">
      <c r="A41" s="7"/>
      <c r="B41" s="8" t="str">
        <f>IF(COUNTA(C3,D3,E3,F3,G3,H3,I3,J3,K3,L3,M3,N3,O3,P3,Q3)=0,"",COUNTA(C3,D3,E3,F3,G3,H3,I3,J3,K3,L3,M3,N3,O3,P3,Q3))</f>
        <v/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9">
        <f t="shared" si="10"/>
        <v>0</v>
      </c>
      <c r="S41" s="8" t="str">
        <f>IF(COUNTA(T3,U3,V3,W3,X3,Y3,Z3,AA3,AB3,AC3,AD3,AE3,AF3,AG3,AH3)=0,"",COUNTA(T3,U3,V3,W3,X3,Y3,Z3,AA3,AB3,AC3,AD3,AE3,AF3,AG3,AH3))</f>
        <v/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9">
        <f t="shared" si="11"/>
        <v>0</v>
      </c>
      <c r="AJ41" s="9" t="str">
        <f>IF(COUNTA(AK3,AN3,AQ3,AT3,AW3,AZ3,BC3,BF3,BI3,BL3,BO3,BR3,BU3,BX3,CA3,CD3,CG3,CJ3,CM3,CP3)=0,"",COUNTA(AK3,AN3,AQ3,AT3,AW3,AZ3,BC3,BF3,BI3,BL3,BO3,BR3,BU3,BX3,CA3,CD3,CG3,CJ3,CM3,CP3))</f>
        <v/>
      </c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9">
        <f t="shared" si="12"/>
        <v>0</v>
      </c>
      <c r="CT41" s="9">
        <f t="shared" si="13"/>
        <v>0</v>
      </c>
      <c r="CU41" s="9">
        <f t="shared" si="14"/>
        <v>0</v>
      </c>
      <c r="CV41" s="9">
        <f t="shared" si="15"/>
        <v>0</v>
      </c>
      <c r="CW41" s="10"/>
      <c r="CX41" s="10"/>
      <c r="CY41" s="11"/>
      <c r="CZ41" s="12">
        <f t="shared" si="16"/>
        <v>0</v>
      </c>
      <c r="DA41" s="13">
        <f t="shared" si="17"/>
        <v>0</v>
      </c>
      <c r="DB41" s="14" t="str">
        <f t="shared" si="9"/>
        <v xml:space="preserve"> </v>
      </c>
      <c r="DE41" s="15" t="str">
        <f t="shared" si="18"/>
        <v/>
      </c>
    </row>
    <row r="42" spans="1:109" ht="15" customHeight="1" x14ac:dyDescent="0.25">
      <c r="A42" s="16"/>
      <c r="B42" s="8" t="str">
        <f>IF(COUNTA(C3,D3,E3,F3,G3,H3,I3,J3,K3,L3,M3,N3,O3,P3,Q3)=0,"",COUNTA(C3,D3,E3,F3,G3,H3,I3,J3,K3,L3,M3,N3,O3,P3,Q3))</f>
        <v/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9">
        <f t="shared" si="10"/>
        <v>0</v>
      </c>
      <c r="S42" s="8" t="str">
        <f>IF(COUNTA(T3,U3,V3,W3,X3,Y3,Z3,AA3,AB3,AC3,AD3,AE3,AF3,AG3,AH3)=0,"",COUNTA(T3,U3,V3,W3,X3,Y3,Z3,AA3,AB3,AC3,AD3,AE3,AF3,AG3,AH3))</f>
        <v/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9">
        <f t="shared" si="11"/>
        <v>0</v>
      </c>
      <c r="AJ42" s="9" t="str">
        <f>IF(COUNTA(AK3,AN3,AQ3,AT3,AW3,AZ3,BC3,BF3,BI3,BL3,BO3,BR3,BU3,BX3,CA3,CD3,CG3,CJ3,CM3,CP3)=0,"",COUNTA(AK3,AN3,AQ3,AT3,AW3,AZ3,BC3,BF3,BI3,BL3,BO3,BR3,BU3,BX3,CA3,CD3,CG3,CJ3,CM3,CP3))</f>
        <v/>
      </c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9">
        <f t="shared" si="12"/>
        <v>0</v>
      </c>
      <c r="CT42" s="9">
        <f t="shared" si="13"/>
        <v>0</v>
      </c>
      <c r="CU42" s="9">
        <f t="shared" si="14"/>
        <v>0</v>
      </c>
      <c r="CV42" s="9">
        <f t="shared" si="15"/>
        <v>0</v>
      </c>
      <c r="CW42" s="10"/>
      <c r="CX42" s="10"/>
      <c r="CY42" s="11"/>
      <c r="CZ42" s="12">
        <f t="shared" si="16"/>
        <v>0</v>
      </c>
      <c r="DA42" s="13">
        <f t="shared" si="17"/>
        <v>0</v>
      </c>
      <c r="DB42" s="14" t="str">
        <f t="shared" si="9"/>
        <v xml:space="preserve"> </v>
      </c>
      <c r="DE42" s="15" t="str">
        <f t="shared" si="18"/>
        <v/>
      </c>
    </row>
    <row r="43" spans="1:109" ht="15" customHeight="1" x14ac:dyDescent="0.25">
      <c r="A43" s="7"/>
      <c r="B43" s="8" t="str">
        <f>IF(COUNTA(C3,D3,E3,F3,G3,H3,I3,J3,K3,L3,M3,N3,O3,P3,Q3)=0,"",COUNTA(C3,D3,E3,F3,G3,H3,I3,J3,K3,L3,M3,N3,O3,P3,Q3))</f>
        <v/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9">
        <f t="shared" si="10"/>
        <v>0</v>
      </c>
      <c r="S43" s="8" t="str">
        <f>IF(COUNTA(T3,U3,V3,W3,X3,Y3,Z3,AA3,AB3,AC3,AD3,AE3,AF3,AG3,AH3)=0,"",COUNTA(T3,U3,V3,W3,X3,Y3,Z3,AA3,AB3,AC3,AD3,AE3,AF3,AG3,AH3))</f>
        <v/>
      </c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9">
        <f t="shared" si="11"/>
        <v>0</v>
      </c>
      <c r="AJ43" s="9" t="str">
        <f>IF(COUNTA(AK3,AN3,AQ3,AT3,AW3,AZ3,BC3,BF3,BI3,BL3,BO3,BR3,BU3,BX3,CA3,CD3,CG3,CJ3,CM3,CP3)=0,"",COUNTA(AK3,AN3,AQ3,AT3,AW3,AZ3,BC3,BF3,BI3,BL3,BO3,BR3,BU3,BX3,CA3,CD3,CG3,CJ3,CM3,CP3))</f>
        <v/>
      </c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9">
        <f t="shared" si="12"/>
        <v>0</v>
      </c>
      <c r="CT43" s="9">
        <f t="shared" si="13"/>
        <v>0</v>
      </c>
      <c r="CU43" s="9">
        <f t="shared" si="14"/>
        <v>0</v>
      </c>
      <c r="CV43" s="9">
        <f t="shared" si="15"/>
        <v>0</v>
      </c>
      <c r="CW43" s="10"/>
      <c r="CX43" s="10"/>
      <c r="CY43" s="11"/>
      <c r="CZ43" s="12">
        <f t="shared" si="16"/>
        <v>0</v>
      </c>
      <c r="DA43" s="13">
        <f t="shared" si="17"/>
        <v>0</v>
      </c>
      <c r="DB43" s="14" t="str">
        <f t="shared" si="9"/>
        <v xml:space="preserve"> </v>
      </c>
      <c r="DE43" s="15" t="str">
        <f t="shared" si="18"/>
        <v/>
      </c>
    </row>
    <row r="44" spans="1:109" ht="15" customHeight="1" x14ac:dyDescent="0.25">
      <c r="A44" s="16"/>
      <c r="B44" s="8" t="str">
        <f>IF(COUNTA(C3,D3,E3,F3,G3,H3,I3,J3,K3,L3,M3,N3,O3,P3,Q3)=0,"",COUNTA(C3,D3,E3,F3,G3,H3,I3,J3,K3,L3,M3,N3,O3,P3,Q3))</f>
        <v/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9">
        <f t="shared" si="10"/>
        <v>0</v>
      </c>
      <c r="S44" s="8" t="str">
        <f>IF(COUNTA(T3,U3,V3,W3,X3,Y3,Z3,AA3,AB3,AC3,AD3,AE3,AF3,AG3,AH3)=0,"",COUNTA(T3,U3,V3,W3,X3,Y3,Z3,AA3,AB3,AC3,AD3,AE3,AF3,AG3,AH3))</f>
        <v/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9">
        <f t="shared" si="11"/>
        <v>0</v>
      </c>
      <c r="AJ44" s="9" t="str">
        <f>IF(COUNTA(AK3,AN3,AQ3,AT3,AW3,AZ3,BC3,BF3,BI3,BL3,BO3,BR3,BU3,BX3,CA3,CD3,CG3,CJ3,CM3,CP3)=0,"",COUNTA(AK3,AN3,AQ3,AT3,AW3,AZ3,BC3,BF3,BI3,BL3,BO3,BR3,BU3,BX3,CA3,CD3,CG3,CJ3,CM3,CP3))</f>
        <v/>
      </c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9">
        <f t="shared" si="12"/>
        <v>0</v>
      </c>
      <c r="CT44" s="9">
        <f t="shared" si="13"/>
        <v>0</v>
      </c>
      <c r="CU44" s="9">
        <f t="shared" si="14"/>
        <v>0</v>
      </c>
      <c r="CV44" s="9">
        <f t="shared" si="15"/>
        <v>0</v>
      </c>
      <c r="CW44" s="10"/>
      <c r="CX44" s="10"/>
      <c r="CY44" s="11"/>
      <c r="CZ44" s="12">
        <f t="shared" si="16"/>
        <v>0</v>
      </c>
      <c r="DA44" s="13">
        <f t="shared" si="17"/>
        <v>0</v>
      </c>
      <c r="DB44" s="14" t="str">
        <f t="shared" si="9"/>
        <v xml:space="preserve"> </v>
      </c>
      <c r="DE44" s="15" t="str">
        <f t="shared" si="18"/>
        <v/>
      </c>
    </row>
    <row r="45" spans="1:109" ht="15" customHeight="1" x14ac:dyDescent="0.25">
      <c r="A45" s="16"/>
      <c r="B45" s="8" t="str">
        <f>IF(COUNTA(C3,D3,E3,F3,G3,H3,I3,J3,K3,L3,M3,N3,O3,P3,Q3)=0,"",COUNTA(C3,D3,E3,F3,G3,H3,I3,J3,K3,L3,M3,N3,O3,P3,Q3))</f>
        <v/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9">
        <f t="shared" si="10"/>
        <v>0</v>
      </c>
      <c r="S45" s="8" t="str">
        <f>IF(COUNTA(T3,U3,V3,W3,X3,Y3,Z3,AA3,AB3,AC3,AD3,AE3,AF3,AG3,AH3)=0,"",COUNTA(T3,U3,V3,W3,X3,Y3,Z3,AA3,AB3,AC3,AD3,AE3,AF3,AG3,AH3))</f>
        <v/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9">
        <f t="shared" si="11"/>
        <v>0</v>
      </c>
      <c r="AJ45" s="9" t="str">
        <f>IF(COUNTA(AK3,AN3,AQ3,AT3,AW3,AZ3,BC3,BF3,BI3,BL3,BO3,BR3,BU3,BX3,CA3,CD3,CG3,CJ3,CM3,CP3)=0,"",COUNTA(AK3,AN3,AQ3,AT3,AW3,AZ3,BC3,BF3,BI3,BL3,BO3,BR3,BU3,BX3,CA3,CD3,CG3,CJ3,CM3,CP3))</f>
        <v/>
      </c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9">
        <f t="shared" si="12"/>
        <v>0</v>
      </c>
      <c r="CT45" s="9">
        <f t="shared" si="13"/>
        <v>0</v>
      </c>
      <c r="CU45" s="9">
        <f t="shared" si="14"/>
        <v>0</v>
      </c>
      <c r="CV45" s="9">
        <f t="shared" si="15"/>
        <v>0</v>
      </c>
      <c r="CW45" s="10"/>
      <c r="CX45" s="10"/>
      <c r="CY45" s="11"/>
      <c r="CZ45" s="12">
        <f t="shared" si="16"/>
        <v>0</v>
      </c>
      <c r="DA45" s="13">
        <f t="shared" si="17"/>
        <v>0</v>
      </c>
      <c r="DB45" s="14" t="str">
        <f t="shared" si="9"/>
        <v xml:space="preserve"> </v>
      </c>
      <c r="DE45" s="15" t="str">
        <f t="shared" si="18"/>
        <v/>
      </c>
    </row>
    <row r="46" spans="1:109" ht="15" customHeight="1" x14ac:dyDescent="0.25">
      <c r="A46" s="7"/>
      <c r="B46" s="8" t="str">
        <f>IF(COUNTA(C3,D3,E3,F3,G3,H3,I3,J3,K3,L3,M3,N3,O3,P3,Q3)=0,"",COUNTA(C3,D3,E3,F3,G3,H3,I3,J3,K3,L3,M3,N3,O3,P3,Q3))</f>
        <v/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9">
        <f t="shared" si="10"/>
        <v>0</v>
      </c>
      <c r="S46" s="8" t="str">
        <f>IF(COUNTA(T3,U3,V3,W3,X3,Y3,Z3,AA3,AB3,AC3,AD3,AE3,AF3,AG3,AH3)=0,"",COUNTA(T3,U3,V3,W3,X3,Y3,Z3,AA3,AB3,AC3,AD3,AE3,AF3,AG3,AH3))</f>
        <v/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9">
        <f t="shared" si="11"/>
        <v>0</v>
      </c>
      <c r="AJ46" s="9" t="str">
        <f>IF(COUNTA(AK3,AN3,AQ3,AT3,AW3,AZ3,BC3,BF3,BI3,BL3,BO3,BR3,BU3,BX3,CA3,CD3,CG3,CJ3,CM3,CP3)=0,"",COUNTA(AK3,AN3,AQ3,AT3,AW3,AZ3,BC3,BF3,BI3,BL3,BO3,BR3,BU3,BX3,CA3,CD3,CG3,CJ3,CM3,CP3))</f>
        <v/>
      </c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9">
        <f t="shared" si="12"/>
        <v>0</v>
      </c>
      <c r="CT46" s="9">
        <f t="shared" si="13"/>
        <v>0</v>
      </c>
      <c r="CU46" s="9">
        <f t="shared" si="14"/>
        <v>0</v>
      </c>
      <c r="CV46" s="9">
        <f t="shared" si="15"/>
        <v>0</v>
      </c>
      <c r="CW46" s="10"/>
      <c r="CX46" s="10"/>
      <c r="CY46" s="11"/>
      <c r="CZ46" s="12">
        <f t="shared" si="16"/>
        <v>0</v>
      </c>
      <c r="DA46" s="13">
        <f t="shared" si="17"/>
        <v>0</v>
      </c>
      <c r="DB46" s="14" t="str">
        <f t="shared" si="9"/>
        <v xml:space="preserve"> </v>
      </c>
      <c r="DE46" s="15" t="str">
        <f t="shared" si="18"/>
        <v/>
      </c>
    </row>
    <row r="47" spans="1:109" ht="15" customHeight="1" x14ac:dyDescent="0.25">
      <c r="A47" s="16"/>
      <c r="B47" s="8" t="str">
        <f>IF(COUNTA(C3,D3,E3,F3,G3,H3,I3,J3,K3,L3,M3,N3,O3,P3,Q3)=0,"",COUNTA(C3,D3,E3,F3,G3,H3,I3,J3,K3,L3,M3,N3,O3,P3,Q3))</f>
        <v/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9">
        <f t="shared" si="10"/>
        <v>0</v>
      </c>
      <c r="S47" s="8" t="str">
        <f>IF(COUNTA(T3,U3,V3,W3,X3,Y3,Z3,AA3,AB3,AC3,AD3,AE3,AF3,AG3,AH3)=0,"",COUNTA(T3,U3,V3,W3,X3,Y3,Z3,AA3,AB3,AC3,AD3,AE3,AF3,AG3,AH3))</f>
        <v/>
      </c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9">
        <f t="shared" si="11"/>
        <v>0</v>
      </c>
      <c r="AJ47" s="9" t="str">
        <f>IF(COUNTA(AK3,AN3,AQ3,AT3,AW3,AZ3,BC3,BF3,BI3,BL3,BO3,BR3,BU3,BX3,CA3,CD3,CG3,CJ3,CM3,CP3)=0,"",COUNTA(AK3,AN3,AQ3,AT3,AW3,AZ3,BC3,BF3,BI3,BL3,BO3,BR3,BU3,BX3,CA3,CD3,CG3,CJ3,CM3,CP3))</f>
        <v/>
      </c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9">
        <f t="shared" si="12"/>
        <v>0</v>
      </c>
      <c r="CT47" s="9">
        <f t="shared" si="13"/>
        <v>0</v>
      </c>
      <c r="CU47" s="9">
        <f t="shared" si="14"/>
        <v>0</v>
      </c>
      <c r="CV47" s="9">
        <f t="shared" si="15"/>
        <v>0</v>
      </c>
      <c r="CW47" s="10"/>
      <c r="CX47" s="10"/>
      <c r="CY47" s="11"/>
      <c r="CZ47" s="12">
        <f t="shared" si="16"/>
        <v>0</v>
      </c>
      <c r="DA47" s="13">
        <f t="shared" si="17"/>
        <v>0</v>
      </c>
      <c r="DB47" s="14" t="str">
        <f t="shared" si="9"/>
        <v xml:space="preserve"> </v>
      </c>
      <c r="DE47" s="15" t="str">
        <f t="shared" si="18"/>
        <v/>
      </c>
    </row>
    <row r="48" spans="1:109" ht="15" customHeight="1" x14ac:dyDescent="0.25">
      <c r="A48" s="7"/>
      <c r="B48" s="8" t="str">
        <f>IF(COUNTA(C3,D3,E3,F3,G3,H3,I3,J3,K3,L3,M3,N3,O3,P3,Q3)=0,"",COUNTA(C3,D3,E3,F3,G3,H3,I3,J3,K3,L3,M3,N3,O3,P3,Q3))</f>
        <v/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9">
        <f t="shared" si="10"/>
        <v>0</v>
      </c>
      <c r="S48" s="8" t="str">
        <f>IF(COUNTA(T3,U3,V3,W3,X3,Y3,Z3,AA3,AB3,AC3,AD3,AE3,AF3,AG3,AH3)=0,"",COUNTA(T3,U3,V3,W3,X3,Y3,Z3,AA3,AB3,AC3,AD3,AE3,AF3,AG3,AH3))</f>
        <v/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9">
        <f t="shared" si="11"/>
        <v>0</v>
      </c>
      <c r="AJ48" s="9" t="str">
        <f>IF(COUNTA(AK3,AN3,AQ3,AT3,AW3,AZ3,BC3,BF3,BI3,BL3,BO3,BR3,BU3,BX3,CA3,CD3,CG3,CJ3,CM3,CP3)=0,"",COUNTA(AK3,AN3,AQ3,AT3,AW3,AZ3,BC3,BF3,BI3,BL3,BO3,BR3,BU3,BX3,CA3,CD3,CG3,CJ3,CM3,CP3))</f>
        <v/>
      </c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9">
        <f t="shared" si="12"/>
        <v>0</v>
      </c>
      <c r="CT48" s="9">
        <f t="shared" si="13"/>
        <v>0</v>
      </c>
      <c r="CU48" s="9">
        <f t="shared" si="14"/>
        <v>0</v>
      </c>
      <c r="CV48" s="9">
        <f t="shared" si="15"/>
        <v>0</v>
      </c>
      <c r="CW48" s="10"/>
      <c r="CX48" s="10"/>
      <c r="CY48" s="11"/>
      <c r="CZ48" s="12">
        <f t="shared" si="16"/>
        <v>0</v>
      </c>
      <c r="DA48" s="13">
        <f t="shared" si="17"/>
        <v>0</v>
      </c>
      <c r="DB48" s="14" t="str">
        <f t="shared" si="9"/>
        <v xml:space="preserve"> </v>
      </c>
      <c r="DE48" s="15" t="str">
        <f t="shared" si="18"/>
        <v/>
      </c>
    </row>
    <row r="49" spans="1:109" ht="15" customHeight="1" x14ac:dyDescent="0.25">
      <c r="A49" s="16"/>
      <c r="B49" s="8" t="str">
        <f>IF(COUNTA(C3,D3,E3,F3,G3,H3,I3,J3,K3,L3,M3,N3,O3,P3,Q3)=0,"",COUNTA(C3,D3,E3,F3,G3,H3,I3,J3,K3,L3,M3,N3,O3,P3,Q3))</f>
        <v/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9">
        <f t="shared" si="10"/>
        <v>0</v>
      </c>
      <c r="S49" s="8" t="str">
        <f>IF(COUNTA(T3,U3,V3,W3,X3,Y3,Z3,AA3,AB3,AC3,AD3,AE3,AF3,AG3,AH3)=0,"",COUNTA(T3,U3,V3,W3,X3,Y3,Z3,AA3,AB3,AC3,AD3,AE3,AF3,AG3,AH3))</f>
        <v/>
      </c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9">
        <f t="shared" si="11"/>
        <v>0</v>
      </c>
      <c r="AJ49" s="9" t="str">
        <f>IF(COUNTA(AK3,AN3,AQ3,AT3,AW3,AZ3,BC3,BF3,BI3,BL3,BO3,BR3,BU3,BX3,CA3,CD3,CG3,CJ3,CM3,CP3)=0,"",COUNTA(AK3,AN3,AQ3,AT3,AW3,AZ3,BC3,BF3,BI3,BL3,BO3,BR3,BU3,BX3,CA3,CD3,CG3,CJ3,CM3,CP3))</f>
        <v/>
      </c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9">
        <f t="shared" si="12"/>
        <v>0</v>
      </c>
      <c r="CT49" s="9">
        <f t="shared" si="13"/>
        <v>0</v>
      </c>
      <c r="CU49" s="9">
        <f t="shared" si="14"/>
        <v>0</v>
      </c>
      <c r="CV49" s="9">
        <f t="shared" si="15"/>
        <v>0</v>
      </c>
      <c r="CW49" s="10"/>
      <c r="CX49" s="10"/>
      <c r="CY49" s="11"/>
      <c r="CZ49" s="12">
        <f t="shared" si="16"/>
        <v>0</v>
      </c>
      <c r="DA49" s="13">
        <f t="shared" si="17"/>
        <v>0</v>
      </c>
      <c r="DB49" s="14" t="str">
        <f t="shared" si="9"/>
        <v xml:space="preserve"> </v>
      </c>
      <c r="DE49" s="15" t="str">
        <f t="shared" si="18"/>
        <v/>
      </c>
    </row>
    <row r="50" spans="1:109" ht="15" customHeight="1" x14ac:dyDescent="0.25">
      <c r="A50" s="7"/>
      <c r="B50" s="8" t="str">
        <f>IF(COUNTA(C3,D3,E3,F3,G3,H3,I3,J3,K3,L3,M3,N3,O3,P3,Q3)=0,"",COUNTA(C3,D3,E3,F3,G3,H3,I3,J3,K3,L3,M3,N3,O3,P3,Q3))</f>
        <v/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9">
        <f t="shared" si="10"/>
        <v>0</v>
      </c>
      <c r="S50" s="8" t="str">
        <f>IF(COUNTA(T3,U3,V3,W3,X3,Y3,Z3,AA3,AB3,AC3,AD3,AE3,AF3,AG3,AH3)=0,"",COUNTA(T3,U3,V3,W3,X3,Y3,Z3,AA3,AB3,AC3,AD3,AE3,AF3,AG3,AH3))</f>
        <v/>
      </c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9">
        <f t="shared" si="11"/>
        <v>0</v>
      </c>
      <c r="AJ50" s="9" t="str">
        <f>IF(COUNTA(AK3,AN3,AQ3,AT3,AW3,AZ3,BC3,BF3,BI3,BL3,BO3,BR3,BU3,BX3,CA3,CD3,CG3,CJ3,CM3,CP3)=0,"",COUNTA(AK3,AN3,AQ3,AT3,AW3,AZ3,BC3,BF3,BI3,BL3,BO3,BR3,BU3,BX3,CA3,CD3,CG3,CJ3,CM3,CP3))</f>
        <v/>
      </c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9">
        <f t="shared" si="12"/>
        <v>0</v>
      </c>
      <c r="CT50" s="9">
        <f t="shared" si="13"/>
        <v>0</v>
      </c>
      <c r="CU50" s="9">
        <f t="shared" si="14"/>
        <v>0</v>
      </c>
      <c r="CV50" s="9">
        <f t="shared" si="15"/>
        <v>0</v>
      </c>
      <c r="CW50" s="10"/>
      <c r="CX50" s="10"/>
      <c r="CY50" s="11"/>
      <c r="CZ50" s="12">
        <f t="shared" si="16"/>
        <v>0</v>
      </c>
      <c r="DA50" s="13">
        <f t="shared" si="17"/>
        <v>0</v>
      </c>
      <c r="DB50" s="14" t="str">
        <f t="shared" si="9"/>
        <v xml:space="preserve"> </v>
      </c>
      <c r="DE50" s="15" t="str">
        <f t="shared" si="18"/>
        <v/>
      </c>
    </row>
    <row r="51" spans="1:109" ht="15" customHeight="1" x14ac:dyDescent="0.25">
      <c r="A51" s="16"/>
      <c r="B51" s="8" t="str">
        <f>IF(COUNTA(C3,D3,E3,F3,G3,H3,I3,J3,K3,L3,M3,N3,O3,P3,Q3)=0,"",COUNTA(C3,D3,E3,F3,G3,H3,I3,J3,K3,L3,M3,N3,O3,P3,Q3))</f>
        <v/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9">
        <f t="shared" si="10"/>
        <v>0</v>
      </c>
      <c r="S51" s="8" t="str">
        <f>IF(COUNTA(T3,U3,V3,W3,X3,Y3,Z3,AA3,AB3,AC3,AD3,AE3,AF3,AG3,AH3)=0,"",COUNTA(T3,U3,V3,W3,X3,Y3,Z3,AA3,AB3,AC3,AD3,AE3,AF3,AG3,AH3))</f>
        <v/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9">
        <f t="shared" si="11"/>
        <v>0</v>
      </c>
      <c r="AJ51" s="9" t="str">
        <f>IF(COUNTA(AK3,AN3,AQ3,AT3,AW3,AZ3,BC3,BF3,BI3,BL3,BO3,BR3,BU3,BX3,CA3,CD3,CG3,CJ3,CM3,CP3)=0,"",COUNTA(AK3,AN3,AQ3,AT3,AW3,AZ3,BC3,BF3,BI3,BL3,BO3,BR3,BU3,BX3,CA3,CD3,CG3,CJ3,CM3,CP3))</f>
        <v/>
      </c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9">
        <f t="shared" si="12"/>
        <v>0</v>
      </c>
      <c r="CT51" s="9">
        <f t="shared" si="13"/>
        <v>0</v>
      </c>
      <c r="CU51" s="9">
        <f t="shared" si="14"/>
        <v>0</v>
      </c>
      <c r="CV51" s="9">
        <f t="shared" si="15"/>
        <v>0</v>
      </c>
      <c r="CW51" s="10"/>
      <c r="CX51" s="10"/>
      <c r="CY51" s="11"/>
      <c r="CZ51" s="12">
        <f t="shared" si="16"/>
        <v>0</v>
      </c>
      <c r="DA51" s="13">
        <f t="shared" si="17"/>
        <v>0</v>
      </c>
      <c r="DB51" s="14" t="str">
        <f t="shared" si="9"/>
        <v xml:space="preserve"> </v>
      </c>
      <c r="DE51" s="15" t="str">
        <f t="shared" si="18"/>
        <v/>
      </c>
    </row>
    <row r="52" spans="1:109" ht="15" customHeight="1" x14ac:dyDescent="0.25">
      <c r="A52" s="7"/>
      <c r="B52" s="8" t="str">
        <f>IF(COUNTA(C3,D3,E3,F3,G3,H3,I3,J3,K3,L3,M3,N3,O3,P3,Q3)=0,"",COUNTA(C3,D3,E3,F3,G3,H3,I3,J3,K3,L3,M3,N3,O3,P3,Q3))</f>
        <v/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9">
        <f t="shared" si="10"/>
        <v>0</v>
      </c>
      <c r="S52" s="8" t="str">
        <f>IF(COUNTA(T3,U3,V3,W3,X3,Y3,Z3,AA3,AB3,AC3,AD3,AE3,AF3,AG3,AH3)=0,"",COUNTA(T3,U3,V3,W3,X3,Y3,Z3,AA3,AB3,AC3,AD3,AE3,AF3,AG3,AH3))</f>
        <v/>
      </c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9">
        <f t="shared" si="11"/>
        <v>0</v>
      </c>
      <c r="AJ52" s="9" t="str">
        <f>IF(COUNTA(AK3,AN3,AQ3,AT3,AW3,AZ3,BC3,BF3,BI3,BL3,BO3,BR3,BU3,BX3,CA3,CD3,CG3,CJ3,CM3,CP3)=0,"",COUNTA(AK3,AN3,AQ3,AT3,AW3,AZ3,BC3,BF3,BI3,BL3,BO3,BR3,BU3,BX3,CA3,CD3,CG3,CJ3,CM3,CP3))</f>
        <v/>
      </c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9">
        <f t="shared" si="12"/>
        <v>0</v>
      </c>
      <c r="CT52" s="9">
        <f t="shared" si="13"/>
        <v>0</v>
      </c>
      <c r="CU52" s="9">
        <f t="shared" si="14"/>
        <v>0</v>
      </c>
      <c r="CV52" s="9">
        <f t="shared" si="15"/>
        <v>0</v>
      </c>
      <c r="CW52" s="10"/>
      <c r="CX52" s="10"/>
      <c r="CY52" s="11"/>
      <c r="CZ52" s="12">
        <f t="shared" si="16"/>
        <v>0</v>
      </c>
      <c r="DA52" s="13">
        <f t="shared" si="17"/>
        <v>0</v>
      </c>
      <c r="DB52" s="14" t="str">
        <f t="shared" si="9"/>
        <v xml:space="preserve"> </v>
      </c>
      <c r="DE52" s="15" t="str">
        <f t="shared" si="18"/>
        <v/>
      </c>
    </row>
    <row r="53" spans="1:109" ht="15" customHeight="1" x14ac:dyDescent="0.25">
      <c r="A53" s="16"/>
      <c r="B53" s="8" t="str">
        <f>IF(COUNTA(C3,D3,E3,F3,G3,H3,I3,J3,K3,L3,M3,N3,O3,P3,Q3)=0,"",COUNTA(C3,D3,E3,F3,G3,H3,I3,J3,K3,L3,M3,N3,O3,P3,Q3))</f>
        <v/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9">
        <f t="shared" si="10"/>
        <v>0</v>
      </c>
      <c r="S53" s="8" t="str">
        <f>IF(COUNTA(T3,U3,V3,W3,X3,Y3,Z3,AA3,AB3,AC3,AD3,AE3,AF3,AG3,AH3)=0,"",COUNTA(T3,U3,V3,W3,X3,Y3,Z3,AA3,AB3,AC3,AD3,AE3,AF3,AG3,AH3))</f>
        <v/>
      </c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9">
        <f t="shared" si="11"/>
        <v>0</v>
      </c>
      <c r="AJ53" s="9" t="str">
        <f>IF(COUNTA(AK3,AN3,AQ3,AT3,AW3,AZ3,BC3,BF3,BI3,BL3,BO3,BR3,BU3,BX3,CA3,CD3,CG3,CJ3,CM3,CP3)=0,"",COUNTA(AK3,AN3,AQ3,AT3,AW3,AZ3,BC3,BF3,BI3,BL3,BO3,BR3,BU3,BX3,CA3,CD3,CG3,CJ3,CM3,CP3))</f>
        <v/>
      </c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9">
        <f t="shared" si="12"/>
        <v>0</v>
      </c>
      <c r="CT53" s="9">
        <f t="shared" si="13"/>
        <v>0</v>
      </c>
      <c r="CU53" s="9">
        <f t="shared" si="14"/>
        <v>0</v>
      </c>
      <c r="CV53" s="9">
        <f t="shared" si="15"/>
        <v>0</v>
      </c>
      <c r="CW53" s="10"/>
      <c r="CX53" s="10"/>
      <c r="CY53" s="11"/>
      <c r="CZ53" s="12">
        <f t="shared" si="16"/>
        <v>0</v>
      </c>
      <c r="DA53" s="13">
        <f t="shared" si="17"/>
        <v>0</v>
      </c>
      <c r="DB53" s="14" t="str">
        <f t="shared" si="9"/>
        <v xml:space="preserve"> </v>
      </c>
      <c r="DE53" s="15" t="str">
        <f t="shared" si="18"/>
        <v/>
      </c>
    </row>
    <row r="54" spans="1:109" ht="15" customHeight="1" x14ac:dyDescent="0.25">
      <c r="A54" s="7"/>
      <c r="B54" s="8" t="str">
        <f>IF(COUNTA(C3,D3,E3,F3,G3,H3,I3,J3,K3,L3,M3,N3,O3,P3,Q3)=0,"",COUNTA(C3,D3,E3,F3,G3,H3,I3,J3,K3,L3,M3,N3,O3,P3,Q3))</f>
        <v/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9">
        <f t="shared" si="10"/>
        <v>0</v>
      </c>
      <c r="S54" s="8" t="str">
        <f>IF(COUNTA(T3,U3,V3,W3,X3,Y3,Z3,AA3,AB3,AC3,AD3,AE3,AF3,AG3,AH3)=0,"",COUNTA(T3,U3,V3,W3,X3,Y3,Z3,AA3,AB3,AC3,AD3,AE3,AF3,AG3,AH3))</f>
        <v/>
      </c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9">
        <f t="shared" si="11"/>
        <v>0</v>
      </c>
      <c r="AJ54" s="9" t="str">
        <f>IF(COUNTA(AK3,AN3,AQ3,AT3,AW3,AZ3,BC3,BF3,BI3,BL3,BO3,BR3,BU3,BX3,CA3,CD3,CG3,CJ3,CM3,CP3)=0,"",COUNTA(AK3,AN3,AQ3,AT3,AW3,AZ3,BC3,BF3,BI3,BL3,BO3,BR3,BU3,BX3,CA3,CD3,CG3,CJ3,CM3,CP3))</f>
        <v/>
      </c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9">
        <f t="shared" si="12"/>
        <v>0</v>
      </c>
      <c r="CT54" s="9">
        <f t="shared" si="13"/>
        <v>0</v>
      </c>
      <c r="CU54" s="9">
        <f t="shared" si="14"/>
        <v>0</v>
      </c>
      <c r="CV54" s="9">
        <f t="shared" si="15"/>
        <v>0</v>
      </c>
      <c r="CW54" s="10"/>
      <c r="CX54" s="10"/>
      <c r="CY54" s="11"/>
      <c r="CZ54" s="12">
        <f t="shared" si="16"/>
        <v>0</v>
      </c>
      <c r="DA54" s="13">
        <f t="shared" si="17"/>
        <v>0</v>
      </c>
      <c r="DB54" s="14" t="str">
        <f t="shared" si="9"/>
        <v xml:space="preserve"> </v>
      </c>
      <c r="DE54" s="15" t="str">
        <f t="shared" si="18"/>
        <v/>
      </c>
    </row>
    <row r="55" spans="1:109" ht="15" customHeight="1" x14ac:dyDescent="0.25">
      <c r="A55" s="16"/>
      <c r="B55" s="8" t="str">
        <f>IF(COUNTA(C3,D3,E3,F3,G3,H3,I3,J3,K3,L3,M3,N3,O3,P3,Q3)=0,"",COUNTA(C3,D3,E3,F3,G3,H3,I3,J3,K3,L3,M3,N3,O3,P3,Q3))</f>
        <v/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9">
        <f t="shared" si="10"/>
        <v>0</v>
      </c>
      <c r="S55" s="8" t="str">
        <f>IF(COUNTA(T3,U3,V3,W3,X3,Y3,Z3,AA3,AB3,AC3,AD3,AE3,AF3,AG3,AH3)=0,"",COUNTA(T3,U3,V3,W3,X3,Y3,Z3,AA3,AB3,AC3,AD3,AE3,AF3,AG3,AH3))</f>
        <v/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9">
        <f t="shared" si="11"/>
        <v>0</v>
      </c>
      <c r="AJ55" s="9" t="str">
        <f>IF(COUNTA(AK3,AN3,AQ3,AT3,AW3,AZ3,BC3,BF3,BI3,BL3,BO3,BR3,BU3,BX3,CA3,CD3,CG3,CJ3,CM3,CP3)=0,"",COUNTA(AK3,AN3,AQ3,AT3,AW3,AZ3,BC3,BF3,BI3,BL3,BO3,BR3,BU3,BX3,CA3,CD3,CG3,CJ3,CM3,CP3))</f>
        <v/>
      </c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9">
        <f t="shared" si="12"/>
        <v>0</v>
      </c>
      <c r="CT55" s="9">
        <f t="shared" si="13"/>
        <v>0</v>
      </c>
      <c r="CU55" s="9">
        <f t="shared" si="14"/>
        <v>0</v>
      </c>
      <c r="CV55" s="9">
        <f t="shared" si="15"/>
        <v>0</v>
      </c>
      <c r="CW55" s="10"/>
      <c r="CX55" s="10"/>
      <c r="CY55" s="11"/>
      <c r="CZ55" s="12">
        <f t="shared" si="16"/>
        <v>0</v>
      </c>
      <c r="DA55" s="13">
        <f t="shared" si="17"/>
        <v>0</v>
      </c>
      <c r="DB55" s="14" t="str">
        <f t="shared" si="9"/>
        <v xml:space="preserve"> </v>
      </c>
      <c r="DE55" s="15" t="str">
        <f t="shared" si="18"/>
        <v/>
      </c>
    </row>
    <row r="56" spans="1:109" ht="15" customHeight="1" x14ac:dyDescent="0.25">
      <c r="A56" s="7"/>
      <c r="B56" s="8" t="str">
        <f>IF(COUNTA(C3,D3,E3,F3,G3,H3,I3,J3,K3,L3,M3,N3,O3,P3,Q3)=0,"",COUNTA(C3,D3,E3,F3,G3,H3,I3,J3,K3,L3,M3,N3,O3,P3,Q3))</f>
        <v/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9">
        <f t="shared" si="10"/>
        <v>0</v>
      </c>
      <c r="S56" s="8" t="str">
        <f>IF(COUNTA(T3,U3,V3,W3,X3,Y3,Z3,AA3,AB3,AC3,AD3,AE3,AF3,AG3,AH3)=0,"",COUNTA(T3,U3,V3,W3,X3,Y3,Z3,AA3,AB3,AC3,AD3,AE3,AF3,AG3,AH3))</f>
        <v/>
      </c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9">
        <f t="shared" si="11"/>
        <v>0</v>
      </c>
      <c r="AJ56" s="9" t="str">
        <f>IF(COUNTA(AK3,AN3,AQ3,AT3,AW3,AZ3,BC3,BF3,BI3,BL3,BO3,BR3,BU3,BX3,CA3,CD3,CG3,CJ3,CM3,CP3)=0,"",COUNTA(AK3,AN3,AQ3,AT3,AW3,AZ3,BC3,BF3,BI3,BL3,BO3,BR3,BU3,BX3,CA3,CD3,CG3,CJ3,CM3,CP3))</f>
        <v/>
      </c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9">
        <f t="shared" si="12"/>
        <v>0</v>
      </c>
      <c r="CT56" s="9">
        <f t="shared" si="13"/>
        <v>0</v>
      </c>
      <c r="CU56" s="9">
        <f t="shared" si="14"/>
        <v>0</v>
      </c>
      <c r="CV56" s="9">
        <f t="shared" si="15"/>
        <v>0</v>
      </c>
      <c r="CW56" s="10"/>
      <c r="CX56" s="10"/>
      <c r="CY56" s="11"/>
      <c r="CZ56" s="12">
        <f t="shared" si="16"/>
        <v>0</v>
      </c>
      <c r="DA56" s="13">
        <f t="shared" si="17"/>
        <v>0</v>
      </c>
      <c r="DB56" s="14" t="str">
        <f t="shared" si="9"/>
        <v xml:space="preserve"> </v>
      </c>
      <c r="DE56" s="15" t="str">
        <f t="shared" si="18"/>
        <v/>
      </c>
    </row>
    <row r="57" spans="1:109" ht="15" customHeight="1" x14ac:dyDescent="0.25">
      <c r="A57" s="16"/>
      <c r="B57" s="8" t="str">
        <f>IF(COUNTA(C3,D3,E3,F3,G3,H3,I3,J3,K3,L3,M3,N3,O3,P3,Q3)=0,"",COUNTA(C3,D3,E3,F3,G3,H3,I3,J3,K3,L3,M3,N3,O3,P3,Q3))</f>
        <v/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9">
        <f t="shared" si="10"/>
        <v>0</v>
      </c>
      <c r="S57" s="8" t="str">
        <f>IF(COUNTA(T3,U3,V3,W3,X3,Y3,Z3,AA3,AB3,AC3,AD3,AE3,AF3,AG3,AH3)=0,"",COUNTA(T3,U3,V3,W3,X3,Y3,Z3,AA3,AB3,AC3,AD3,AE3,AF3,AG3,AH3))</f>
        <v/>
      </c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9">
        <f t="shared" si="11"/>
        <v>0</v>
      </c>
      <c r="AJ57" s="9" t="str">
        <f>IF(COUNTA(AK3,AN3,AQ3,AT3,AW3,AZ3,BC3,BF3,BI3,BL3,BO3,BR3,BU3,BX3,CA3,CD3,CG3,CJ3,CM3,CP3)=0,"",COUNTA(AK3,AN3,AQ3,AT3,AW3,AZ3,BC3,BF3,BI3,BL3,BO3,BR3,BU3,BX3,CA3,CD3,CG3,CJ3,CM3,CP3))</f>
        <v/>
      </c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9">
        <f t="shared" si="12"/>
        <v>0</v>
      </c>
      <c r="CT57" s="9">
        <f t="shared" si="13"/>
        <v>0</v>
      </c>
      <c r="CU57" s="9">
        <f t="shared" si="14"/>
        <v>0</v>
      </c>
      <c r="CV57" s="9">
        <f t="shared" si="15"/>
        <v>0</v>
      </c>
      <c r="CW57" s="10"/>
      <c r="CX57" s="10"/>
      <c r="CY57" s="11"/>
      <c r="CZ57" s="12">
        <f t="shared" si="16"/>
        <v>0</v>
      </c>
      <c r="DA57" s="13">
        <f t="shared" si="17"/>
        <v>0</v>
      </c>
      <c r="DB57" s="14" t="str">
        <f t="shared" si="9"/>
        <v xml:space="preserve"> </v>
      </c>
      <c r="DE57" s="15" t="str">
        <f t="shared" si="18"/>
        <v/>
      </c>
    </row>
    <row r="58" spans="1:109" ht="15" customHeight="1" x14ac:dyDescent="0.25">
      <c r="A58" s="7"/>
      <c r="B58" s="8" t="str">
        <f>IF(COUNTA(C3,D3,E3,F3,G3,H3,I3,J3,K3,L3,M3,N3,O3,P3,Q3)=0,"",COUNTA(C3,D3,E3,F3,G3,H3,I3,J3,K3,L3,M3,N3,O3,P3,Q3))</f>
        <v/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9">
        <f t="shared" si="10"/>
        <v>0</v>
      </c>
      <c r="S58" s="8" t="str">
        <f>IF(COUNTA(T3,U3,V3,W3,X3,Y3,Z3,AA3,AB3,AC3,AD3,AE3,AF3,AG3,AH3)=0,"",COUNTA(T3,U3,V3,W3,X3,Y3,Z3,AA3,AB3,AC3,AD3,AE3,AF3,AG3,AH3))</f>
        <v/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9">
        <f t="shared" si="11"/>
        <v>0</v>
      </c>
      <c r="AJ58" s="9" t="str">
        <f>IF(COUNTA(AK3,AN3,AQ3,AT3,AW3,AZ3,BC3,BF3,BI3,BL3,BO3,BR3,BU3,BX3,CA3,CD3,CG3,CJ3,CM3,CP3)=0,"",COUNTA(AK3,AN3,AQ3,AT3,AW3,AZ3,BC3,BF3,BI3,BL3,BO3,BR3,BU3,BX3,CA3,CD3,CG3,CJ3,CM3,CP3))</f>
        <v/>
      </c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9">
        <f t="shared" si="12"/>
        <v>0</v>
      </c>
      <c r="CT58" s="9">
        <f t="shared" si="13"/>
        <v>0</v>
      </c>
      <c r="CU58" s="9">
        <f t="shared" si="14"/>
        <v>0</v>
      </c>
      <c r="CV58" s="9">
        <f t="shared" si="15"/>
        <v>0</v>
      </c>
      <c r="CW58" s="10"/>
      <c r="CX58" s="10"/>
      <c r="CY58" s="11"/>
      <c r="CZ58" s="12">
        <f t="shared" si="16"/>
        <v>0</v>
      </c>
      <c r="DA58" s="13">
        <f t="shared" si="17"/>
        <v>0</v>
      </c>
      <c r="DB58" s="14" t="str">
        <f t="shared" si="9"/>
        <v xml:space="preserve"> </v>
      </c>
      <c r="DE58" s="15" t="str">
        <f t="shared" si="18"/>
        <v/>
      </c>
    </row>
    <row r="59" spans="1:109" ht="15" customHeight="1" x14ac:dyDescent="0.25">
      <c r="A59" s="16"/>
      <c r="B59" s="8" t="str">
        <f>IF(COUNTA(C3,D3,E3,F3,G3,H3,I3,J3,K3,L3,M3,N3,O3,P3,Q3)=0,"",COUNTA(C3,D3,E3,F3,G3,H3,I3,J3,K3,L3,M3,N3,O3,P3,Q3))</f>
        <v/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9">
        <f t="shared" si="10"/>
        <v>0</v>
      </c>
      <c r="S59" s="8" t="str">
        <f>IF(COUNTA(T3,U3,V3,W3,X3,Y3,Z3,AA3,AB3,AC3,AD3,AE3,AF3,AG3,AH3)=0,"",COUNTA(T3,U3,V3,W3,X3,Y3,Z3,AA3,AB3,AC3,AD3,AE3,AF3,AG3,AH3))</f>
        <v/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9">
        <f t="shared" si="11"/>
        <v>0</v>
      </c>
      <c r="AJ59" s="9" t="str">
        <f>IF(COUNTA(AK3,AN3,AQ3,AT3,AW3,AZ3,BC3,BF3,BI3,BL3,BO3,BR3,BU3,BX3,CA3,CD3,CG3,CJ3,CM3,CP3)=0,"",COUNTA(AK3,AN3,AQ3,AT3,AW3,AZ3,BC3,BF3,BI3,BL3,BO3,BR3,BU3,BX3,CA3,CD3,CG3,CJ3,CM3,CP3))</f>
        <v/>
      </c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9">
        <f t="shared" si="12"/>
        <v>0</v>
      </c>
      <c r="CT59" s="9">
        <f t="shared" si="13"/>
        <v>0</v>
      </c>
      <c r="CU59" s="9">
        <f t="shared" si="14"/>
        <v>0</v>
      </c>
      <c r="CV59" s="9">
        <f t="shared" si="15"/>
        <v>0</v>
      </c>
      <c r="CW59" s="10"/>
      <c r="CX59" s="10"/>
      <c r="CY59" s="11"/>
      <c r="CZ59" s="12">
        <f t="shared" si="16"/>
        <v>0</v>
      </c>
      <c r="DA59" s="13">
        <f t="shared" si="17"/>
        <v>0</v>
      </c>
      <c r="DB59" s="14" t="str">
        <f t="shared" si="9"/>
        <v xml:space="preserve"> </v>
      </c>
      <c r="DE59" s="15" t="str">
        <f t="shared" si="18"/>
        <v/>
      </c>
    </row>
    <row r="60" spans="1:109" ht="15" customHeight="1" x14ac:dyDescent="0.25">
      <c r="A60" s="7"/>
      <c r="B60" s="8" t="str">
        <f>IF(COUNTA(C3,D3,E3,F3,G3,H3,I3,J3,K3,L3,M3,N3,O3,P3,Q3)=0,"",COUNTA(C3,D3,E3,F3,G3,H3,I3,J3,K3,L3,M3,N3,O3,P3,Q3))</f>
        <v/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9">
        <f t="shared" si="10"/>
        <v>0</v>
      </c>
      <c r="S60" s="8" t="str">
        <f>IF(COUNTA(T3,U3,V3,W3,X3,Y3,Z3,AA3,AB3,AC3,AD3,AE3,AF3,AG3,AH3)=0,"",COUNTA(T3,U3,V3,W3,X3,Y3,Z3,AA3,AB3,AC3,AD3,AE3,AF3,AG3,AH3))</f>
        <v/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9">
        <f t="shared" si="11"/>
        <v>0</v>
      </c>
      <c r="AJ60" s="9" t="str">
        <f>IF(COUNTA(AK3,AN3,AQ3,AT3,AW3,AZ3,BC3,BF3,BI3,BL3,BO3,BR3,BU3,BX3,CA3,CD3,CG3,CJ3,CM3,CP3)=0,"",COUNTA(AK3,AN3,AQ3,AT3,AW3,AZ3,BC3,BF3,BI3,BL3,BO3,BR3,BU3,BX3,CA3,CD3,CG3,CJ3,CM3,CP3))</f>
        <v/>
      </c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9">
        <f t="shared" si="12"/>
        <v>0</v>
      </c>
      <c r="CT60" s="9">
        <f t="shared" si="13"/>
        <v>0</v>
      </c>
      <c r="CU60" s="9">
        <f t="shared" si="14"/>
        <v>0</v>
      </c>
      <c r="CV60" s="9">
        <f t="shared" si="15"/>
        <v>0</v>
      </c>
      <c r="CW60" s="10"/>
      <c r="CX60" s="10"/>
      <c r="CY60" s="11"/>
      <c r="CZ60" s="12">
        <f t="shared" si="16"/>
        <v>0</v>
      </c>
      <c r="DA60" s="13">
        <f t="shared" si="17"/>
        <v>0</v>
      </c>
      <c r="DB60" s="14" t="str">
        <f t="shared" si="9"/>
        <v xml:space="preserve"> </v>
      </c>
      <c r="DE60" s="15" t="str">
        <f t="shared" si="18"/>
        <v/>
      </c>
    </row>
    <row r="61" spans="1:109" ht="15" customHeight="1" x14ac:dyDescent="0.25">
      <c r="A61" s="16"/>
      <c r="B61" s="8" t="str">
        <f>IF(COUNTA(C3,D3,E3,F3,G3,H3,I3,J3,K3,L3,M3,N3,O3,P3,Q3)=0,"",COUNTA(C3,D3,E3,F3,G3,H3,I3,J3,K3,L3,M3,N3,O3,P3,Q3))</f>
        <v/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9">
        <f t="shared" si="10"/>
        <v>0</v>
      </c>
      <c r="S61" s="8" t="str">
        <f>IF(COUNTA(T3,U3,V3,W3,X3,Y3,Z3,AA3,AB3,AC3,AD3,AE3,AF3,AG3,AH3)=0,"",COUNTA(T3,U3,V3,W3,X3,Y3,Z3,AA3,AB3,AC3,AD3,AE3,AF3,AG3,AH3))</f>
        <v/>
      </c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9">
        <f t="shared" si="11"/>
        <v>0</v>
      </c>
      <c r="AJ61" s="9" t="str">
        <f>IF(COUNTA(AK3,AN3,AQ3,AT3,AW3,AZ3,BC3,BF3,BI3,BL3,BO3,BR3,BU3,BX3,CA3,CD3,CG3,CJ3,CM3,CP3)=0,"",COUNTA(AK3,AN3,AQ3,AT3,AW3,AZ3,BC3,BF3,BI3,BL3,BO3,BR3,BU3,BX3,CA3,CD3,CG3,CJ3,CM3,CP3))</f>
        <v/>
      </c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9">
        <f t="shared" si="12"/>
        <v>0</v>
      </c>
      <c r="CT61" s="9">
        <f t="shared" si="13"/>
        <v>0</v>
      </c>
      <c r="CU61" s="9">
        <f t="shared" si="14"/>
        <v>0</v>
      </c>
      <c r="CV61" s="9">
        <f t="shared" si="15"/>
        <v>0</v>
      </c>
      <c r="CW61" s="10"/>
      <c r="CX61" s="10"/>
      <c r="CY61" s="11"/>
      <c r="CZ61" s="12">
        <f t="shared" si="16"/>
        <v>0</v>
      </c>
      <c r="DA61" s="13">
        <f t="shared" si="17"/>
        <v>0</v>
      </c>
      <c r="DB61" s="14" t="str">
        <f t="shared" si="9"/>
        <v xml:space="preserve"> </v>
      </c>
      <c r="DE61" s="15" t="str">
        <f t="shared" si="18"/>
        <v/>
      </c>
    </row>
    <row r="62" spans="1:109" ht="15" customHeight="1" x14ac:dyDescent="0.25">
      <c r="A62" s="7"/>
      <c r="B62" s="8" t="str">
        <f>IF(COUNTA(C3,D3,E3,F3,G3,H3,I3,J3,K3,L3,M3,N3,O3,P3,Q3)=0,"",COUNTA(C3,D3,E3,F3,G3,H3,I3,J3,K3,L3,M3,N3,O3,P3,Q3))</f>
        <v/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9">
        <f t="shared" si="10"/>
        <v>0</v>
      </c>
      <c r="S62" s="8" t="str">
        <f>IF(COUNTA(T3,U3,V3,W3,X3,Y3,Z3,AA3,AB3,AC3,AD3,AE3,AF3,AG3,AH3)=0,"",COUNTA(T3,U3,V3,W3,X3,Y3,Z3,AA3,AB3,AC3,AD3,AE3,AF3,AG3,AH3))</f>
        <v/>
      </c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9">
        <f t="shared" si="11"/>
        <v>0</v>
      </c>
      <c r="AJ62" s="9" t="str">
        <f>IF(COUNTA(AK3,AN3,AQ3,AT3,AW3,AZ3,BC3,BF3,BI3,BL3,BO3,BR3,BU3,BX3,CA3,CD3,CG3,CJ3,CM3,CP3)=0,"",COUNTA(AK3,AN3,AQ3,AT3,AW3,AZ3,BC3,BF3,BI3,BL3,BO3,BR3,BU3,BX3,CA3,CD3,CG3,CJ3,CM3,CP3))</f>
        <v/>
      </c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9">
        <f t="shared" si="12"/>
        <v>0</v>
      </c>
      <c r="CT62" s="9">
        <f t="shared" si="13"/>
        <v>0</v>
      </c>
      <c r="CU62" s="9">
        <f t="shared" si="14"/>
        <v>0</v>
      </c>
      <c r="CV62" s="9">
        <f t="shared" si="15"/>
        <v>0</v>
      </c>
      <c r="CW62" s="10"/>
      <c r="CX62" s="10"/>
      <c r="CY62" s="11"/>
      <c r="CZ62" s="12">
        <f t="shared" si="16"/>
        <v>0</v>
      </c>
      <c r="DA62" s="13">
        <f t="shared" si="17"/>
        <v>0</v>
      </c>
      <c r="DB62" s="14" t="str">
        <f t="shared" si="9"/>
        <v xml:space="preserve"> </v>
      </c>
      <c r="DE62" s="15" t="str">
        <f t="shared" si="18"/>
        <v/>
      </c>
    </row>
    <row r="63" spans="1:109" ht="15" customHeight="1" x14ac:dyDescent="0.25">
      <c r="A63" s="16"/>
      <c r="B63" s="8" t="str">
        <f>IF(COUNTA(C3,D3,E3,F3,G3,H3,I3,J3,K3,L3,M3,N3,O3,P3,Q3)=0,"",COUNTA(C3,D3,E3,F3,G3,H3,I3,J3,K3,L3,M3,N3,O3,P3,Q3))</f>
        <v/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9">
        <f t="shared" si="10"/>
        <v>0</v>
      </c>
      <c r="S63" s="8" t="str">
        <f>IF(COUNTA(T3,U3,V3,W3,X3,Y3,Z3,AA3,AB3,AC3,AD3,AE3,AF3,AG3,AH3)=0,"",COUNTA(T3,U3,V3,W3,X3,Y3,Z3,AA3,AB3,AC3,AD3,AE3,AF3,AG3,AH3))</f>
        <v/>
      </c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9">
        <f t="shared" si="11"/>
        <v>0</v>
      </c>
      <c r="AJ63" s="9" t="str">
        <f>IF(COUNTA(AK3,AN3,AQ3,AT3,AW3,AZ3,BC3,BF3,BI3,BL3,BO3,BR3,BU3,BX3,CA3,CD3,CG3,CJ3,CM3,CP3)=0,"",COUNTA(AK3,AN3,AQ3,AT3,AW3,AZ3,BC3,BF3,BI3,BL3,BO3,BR3,BU3,BX3,CA3,CD3,CG3,CJ3,CM3,CP3))</f>
        <v/>
      </c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9">
        <f t="shared" si="12"/>
        <v>0</v>
      </c>
      <c r="CT63" s="9">
        <f t="shared" si="13"/>
        <v>0</v>
      </c>
      <c r="CU63" s="9">
        <f t="shared" si="14"/>
        <v>0</v>
      </c>
      <c r="CV63" s="9">
        <f t="shared" si="15"/>
        <v>0</v>
      </c>
      <c r="CW63" s="10"/>
      <c r="CX63" s="10"/>
      <c r="CY63" s="11"/>
      <c r="CZ63" s="12">
        <f t="shared" si="16"/>
        <v>0</v>
      </c>
      <c r="DA63" s="13">
        <f t="shared" si="17"/>
        <v>0</v>
      </c>
      <c r="DB63" s="14" t="str">
        <f t="shared" si="9"/>
        <v xml:space="preserve"> </v>
      </c>
      <c r="DE63" s="15" t="str">
        <f t="shared" si="18"/>
        <v/>
      </c>
    </row>
    <row r="64" spans="1:109" ht="15" customHeight="1" x14ac:dyDescent="0.25">
      <c r="A64" s="7"/>
      <c r="B64" s="8" t="str">
        <f>IF(COUNTA(C3,D3,E3,F3,G3,H3,I3,J3,K3,L3,M3,N3,O3,P3,Q3)=0,"",COUNTA(C3,D3,E3,F3,G3,H3,I3,J3,K3,L3,M3,N3,O3,P3,Q3))</f>
        <v/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9">
        <f t="shared" si="10"/>
        <v>0</v>
      </c>
      <c r="S64" s="8" t="str">
        <f>IF(COUNTA(T3,U3,V3,W3,X3,Y3,Z3,AA3,AB3,AC3,AD3,AE3,AF3,AG3,AH3)=0,"",COUNTA(T3,U3,V3,W3,X3,Y3,Z3,AA3,AB3,AC3,AD3,AE3,AF3,AG3,AH3))</f>
        <v/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9">
        <f t="shared" si="11"/>
        <v>0</v>
      </c>
      <c r="AJ64" s="9" t="str">
        <f>IF(COUNTA(AK3,AN3,AQ3,AT3,AW3,AZ3,BC3,BF3,BI3,BL3,BO3,BR3,BU3,BX3,CA3,CD3,CG3,CJ3,CM3,CP3)=0,"",COUNTA(AK3,AN3,AQ3,AT3,AW3,AZ3,BC3,BF3,BI3,BL3,BO3,BR3,BU3,BX3,CA3,CD3,CG3,CJ3,CM3,CP3))</f>
        <v/>
      </c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9">
        <f t="shared" si="12"/>
        <v>0</v>
      </c>
      <c r="CT64" s="9">
        <f t="shared" si="13"/>
        <v>0</v>
      </c>
      <c r="CU64" s="9">
        <f t="shared" si="14"/>
        <v>0</v>
      </c>
      <c r="CV64" s="9">
        <f t="shared" si="15"/>
        <v>0</v>
      </c>
      <c r="CW64" s="10"/>
      <c r="CX64" s="10"/>
      <c r="CY64" s="11"/>
      <c r="CZ64" s="12">
        <f t="shared" si="16"/>
        <v>0</v>
      </c>
      <c r="DA64" s="13">
        <f t="shared" si="17"/>
        <v>0</v>
      </c>
      <c r="DB64" s="14" t="str">
        <f t="shared" si="9"/>
        <v xml:space="preserve"> </v>
      </c>
      <c r="DE64" s="15" t="str">
        <f t="shared" si="18"/>
        <v/>
      </c>
    </row>
    <row r="65" spans="1:109" ht="15" customHeight="1" x14ac:dyDescent="0.25">
      <c r="A65" s="16"/>
      <c r="B65" s="8" t="str">
        <f>IF(COUNTA(C3,D3,E3,F3,G3,H3,I3,J3,K3,L3,M3,N3,O3,P3,Q3)=0,"",COUNTA(C3,D3,E3,F3,G3,H3,I3,J3,K3,L3,M3,N3,O3,P3,Q3))</f>
        <v/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9">
        <f t="shared" si="10"/>
        <v>0</v>
      </c>
      <c r="S65" s="8" t="str">
        <f>IF(COUNTA(T3,U3,V3,W3,X3,Y3,Z3,AA3,AB3,AC3,AD3,AE3,AF3,AG3,AH3)=0,"",COUNTA(T3,U3,V3,W3,X3,Y3,Z3,AA3,AB3,AC3,AD3,AE3,AF3,AG3,AH3))</f>
        <v/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9">
        <f t="shared" si="11"/>
        <v>0</v>
      </c>
      <c r="AJ65" s="9" t="str">
        <f>IF(COUNTA(AK3,AN3,AQ3,AT3,AW3,AZ3,BC3,BF3,BI3,BL3,BO3,BR3,BU3,BX3,CA3,CD3,CG3,CJ3,CM3,CP3)=0,"",COUNTA(AK3,AN3,AQ3,AT3,AW3,AZ3,BC3,BF3,BI3,BL3,BO3,BR3,BU3,BX3,CA3,CD3,CG3,CJ3,CM3,CP3))</f>
        <v/>
      </c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9">
        <f t="shared" si="12"/>
        <v>0</v>
      </c>
      <c r="CT65" s="9">
        <f t="shared" si="13"/>
        <v>0</v>
      </c>
      <c r="CU65" s="9">
        <f t="shared" si="14"/>
        <v>0</v>
      </c>
      <c r="CV65" s="9">
        <f t="shared" si="15"/>
        <v>0</v>
      </c>
      <c r="CW65" s="10"/>
      <c r="CX65" s="10"/>
      <c r="CY65" s="11"/>
      <c r="CZ65" s="12">
        <f t="shared" si="16"/>
        <v>0</v>
      </c>
      <c r="DA65" s="13">
        <f t="shared" si="17"/>
        <v>0</v>
      </c>
      <c r="DB65" s="14" t="str">
        <f t="shared" si="9"/>
        <v xml:space="preserve"> </v>
      </c>
      <c r="DE65" s="15" t="str">
        <f t="shared" si="18"/>
        <v/>
      </c>
    </row>
    <row r="66" spans="1:109" ht="15" customHeight="1" x14ac:dyDescent="0.25">
      <c r="A66" s="7"/>
      <c r="B66" s="8" t="str">
        <f>IF(COUNTA(C3,D3,E3,F3,G3,H3,I3,J3,K3,L3,M3,N3,O3,P3,Q3)=0,"",COUNTA(C3,D3,E3,F3,G3,H3,I3,J3,K3,L3,M3,N3,O3,P3,Q3))</f>
        <v/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9">
        <f t="shared" si="10"/>
        <v>0</v>
      </c>
      <c r="S66" s="8" t="str">
        <f>IF(COUNTA(T3,U3,V3,W3,X3,Y3,Z3,AA3,AB3,AC3,AD3,AE3,AF3,AG3,AH3)=0,"",COUNTA(T3,U3,V3,W3,X3,Y3,Z3,AA3,AB3,AC3,AD3,AE3,AF3,AG3,AH3))</f>
        <v/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9">
        <f t="shared" si="11"/>
        <v>0</v>
      </c>
      <c r="AJ66" s="9" t="str">
        <f>IF(COUNTA(AK3,AN3,AQ3,AT3,AW3,AZ3,BC3,BF3,BI3,BL3,BO3,BR3,BU3,BX3,CA3,CD3,CG3,CJ3,CM3,CP3)=0,"",COUNTA(AK3,AN3,AQ3,AT3,AW3,AZ3,BC3,BF3,BI3,BL3,BO3,BR3,BU3,BX3,CA3,CD3,CG3,CJ3,CM3,CP3))</f>
        <v/>
      </c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9">
        <f t="shared" si="12"/>
        <v>0</v>
      </c>
      <c r="CT66" s="9">
        <f t="shared" si="13"/>
        <v>0</v>
      </c>
      <c r="CU66" s="9">
        <f t="shared" si="14"/>
        <v>0</v>
      </c>
      <c r="CV66" s="9">
        <f t="shared" si="15"/>
        <v>0</v>
      </c>
      <c r="CW66" s="10"/>
      <c r="CX66" s="10"/>
      <c r="CY66" s="11"/>
      <c r="CZ66" s="12">
        <f t="shared" si="16"/>
        <v>0</v>
      </c>
      <c r="DA66" s="13">
        <f t="shared" si="17"/>
        <v>0</v>
      </c>
      <c r="DB66" s="14" t="str">
        <f t="shared" si="9"/>
        <v xml:space="preserve"> </v>
      </c>
      <c r="DE66" s="15" t="str">
        <f t="shared" si="18"/>
        <v/>
      </c>
    </row>
    <row r="67" spans="1:109" ht="15" customHeight="1" x14ac:dyDescent="0.25">
      <c r="A67" s="16"/>
      <c r="B67" s="8" t="str">
        <f>IF(COUNTA(C3,D3,E3,F3,G3,H3,I3,J3,K3,L3,M3,N3,O3,P3,Q3)=0,"",COUNTA(C3,D3,E3,F3,G3,H3,I3,J3,K3,L3,M3,N3,O3,P3,Q3))</f>
        <v/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9">
        <f t="shared" si="10"/>
        <v>0</v>
      </c>
      <c r="S67" s="8" t="str">
        <f>IF(COUNTA(T3,U3,V3,W3,X3,Y3,Z3,AA3,AB3,AC3,AD3,AE3,AF3,AG3,AH3)=0,"",COUNTA(T3,U3,V3,W3,X3,Y3,Z3,AA3,AB3,AC3,AD3,AE3,AF3,AG3,AH3))</f>
        <v/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9">
        <f t="shared" si="11"/>
        <v>0</v>
      </c>
      <c r="AJ67" s="9" t="str">
        <f>IF(COUNTA(AK3,AN3,AQ3,AT3,AW3,AZ3,BC3,BF3,BI3,BL3,BO3,BR3,BU3,BX3,CA3,CD3,CG3,CJ3,CM3,CP3)=0,"",COUNTA(AK3,AN3,AQ3,AT3,AW3,AZ3,BC3,BF3,BI3,BL3,BO3,BR3,BU3,BX3,CA3,CD3,CG3,CJ3,CM3,CP3))</f>
        <v/>
      </c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9">
        <f t="shared" si="12"/>
        <v>0</v>
      </c>
      <c r="CT67" s="9">
        <f t="shared" si="13"/>
        <v>0</v>
      </c>
      <c r="CU67" s="9">
        <f t="shared" si="14"/>
        <v>0</v>
      </c>
      <c r="CV67" s="9">
        <f t="shared" si="15"/>
        <v>0</v>
      </c>
      <c r="CW67" s="10"/>
      <c r="CX67" s="10"/>
      <c r="CY67" s="11"/>
      <c r="CZ67" s="12">
        <f t="shared" si="16"/>
        <v>0</v>
      </c>
      <c r="DA67" s="13">
        <f t="shared" si="17"/>
        <v>0</v>
      </c>
      <c r="DB67" s="14" t="str">
        <f t="shared" si="9"/>
        <v xml:space="preserve"> </v>
      </c>
      <c r="DE67" s="15" t="str">
        <f t="shared" si="18"/>
        <v/>
      </c>
    </row>
    <row r="68" spans="1:109" ht="15" customHeight="1" x14ac:dyDescent="0.25">
      <c r="A68" s="7"/>
      <c r="B68" s="8" t="str">
        <f>IF(COUNTA(C3,D3,E3,F3,G3,H3,I3,J3,K3,L3,M3,N3,O3,P3,Q3)=0,"",COUNTA(C3,D3,E3,F3,G3,H3,I3,J3,K3,L3,M3,N3,O3,P3,Q3))</f>
        <v/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9">
        <f t="shared" si="10"/>
        <v>0</v>
      </c>
      <c r="S68" s="8" t="str">
        <f>IF(COUNTA(T3,U3,V3,W3,X3,Y3,Z3,AA3,AB3,AC3,AD3,AE3,AF3,AG3,AH3)=0,"",COUNTA(T3,U3,V3,W3,X3,Y3,Z3,AA3,AB3,AC3,AD3,AE3,AF3,AG3,AH3))</f>
        <v/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9">
        <f t="shared" si="11"/>
        <v>0</v>
      </c>
      <c r="AJ68" s="9" t="str">
        <f>IF(COUNTA(AK3,AN3,AQ3,AT3,AW3,AZ3,BC3,BF3,BI3,BL3,BO3,BR3,BU3,BX3,CA3,CD3,CG3,CJ3,CM3,CP3)=0,"",COUNTA(AK3,AN3,AQ3,AT3,AW3,AZ3,BC3,BF3,BI3,BL3,BO3,BR3,BU3,BX3,CA3,CD3,CG3,CJ3,CM3,CP3))</f>
        <v/>
      </c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9">
        <f t="shared" si="12"/>
        <v>0</v>
      </c>
      <c r="CT68" s="9">
        <f t="shared" si="13"/>
        <v>0</v>
      </c>
      <c r="CU68" s="9">
        <f t="shared" si="14"/>
        <v>0</v>
      </c>
      <c r="CV68" s="9">
        <f t="shared" si="15"/>
        <v>0</v>
      </c>
      <c r="CW68" s="10"/>
      <c r="CX68" s="10"/>
      <c r="CY68" s="11"/>
      <c r="CZ68" s="12">
        <f t="shared" si="16"/>
        <v>0</v>
      </c>
      <c r="DA68" s="13">
        <f t="shared" si="17"/>
        <v>0</v>
      </c>
      <c r="DB68" s="14" t="str">
        <f t="shared" si="9"/>
        <v xml:space="preserve"> </v>
      </c>
      <c r="DE68" s="15" t="str">
        <f t="shared" si="18"/>
        <v/>
      </c>
    </row>
    <row r="69" spans="1:109" ht="15" customHeight="1" x14ac:dyDescent="0.25">
      <c r="A69" s="16"/>
      <c r="B69" s="8" t="str">
        <f>IF(COUNTA(C3,D3,E3,F3,G3,H3,I3,J3,K3,L3,M3,N3,O3,P3,Q3)=0,"",COUNTA(C3,D3,E3,F3,G3,H3,I3,J3,K3,L3,M3,N3,O3,P3,Q3))</f>
        <v/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9">
        <f t="shared" ref="R69:R100" si="19">IFERROR(SUM(C69,D69,E69,F69,G69,H69,I69,J69,K69,L69,M69,N69,O69,P69,Q69)/B69*30,0)</f>
        <v>0</v>
      </c>
      <c r="S69" s="8" t="str">
        <f>IF(COUNTA(T3,U3,V3,W3,X3,Y3,Z3,AA3,AB3,AC3,AD3,AE3,AF3,AG3,AH3)=0,"",COUNTA(T3,U3,V3,W3,X3,Y3,Z3,AA3,AB3,AC3,AD3,AE3,AF3,AG3,AH3))</f>
        <v/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9">
        <f t="shared" ref="AI69:AI100" si="20">IFERROR(SUM(T69,U69,V69,W69,X69,Y69,Z69,AA69,AB69,AC69,AD69,AE69,AF69,AG69,AH69)/S69*30,0)</f>
        <v>0</v>
      </c>
      <c r="AJ69" s="9" t="str">
        <f>IF(COUNTA(AK3,AN3,AQ3,AT3,AW3,AZ3,BC3,BF3,BI3,BL3,BO3,BR3,BU3,BX3,CA3,CD3,CG3,CJ3,CM3,CP3)=0,"",COUNTA(AK3,AN3,AQ3,AT3,AW3,AZ3,BC3,BF3,BI3,BL3,BO3,BR3,BU3,BX3,CA3,CD3,CG3,CJ3,CM3,CP3))</f>
        <v/>
      </c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9">
        <f t="shared" ref="CS69:CS100" si="21">IFERROR(SUM(AK69,AN69,AQ69,AT69,AW69,AZ69,BC69,BF69,BI69,BL69,BO69,BR69,BU69,BX69,CA69,CD69,CG69,CJ69,CM69,CP69)/AJ69*10,0)</f>
        <v>0</v>
      </c>
      <c r="CT69" s="9">
        <f t="shared" ref="CT69:CT100" si="22">IFERROR(SUM(AL69,AO69,AR69,AU69,AX69,BA69,BD69,BG69,BJ69,BM69,BP69,BS69,BV69,BY69,CB69,CE69,CH69,CK69,CN69,CQ69)/AJ69/5*5,0)</f>
        <v>0</v>
      </c>
      <c r="CU69" s="9">
        <f t="shared" ref="CU69:CU100" si="23">IFERROR(SUM(AM69,AP69,AS69,AV69,AY69,BB69,BE69,BH69,BK69,BN69,BQ69,BT69,BW69,BZ69,CC69,CF69,CI69,CL69,CO69,CR69)/AJ69*5,0)</f>
        <v>0</v>
      </c>
      <c r="CV69" s="9">
        <f t="shared" ref="CV69:CV100" si="24">ROUND(SUM(CS69,CT69,CU69),2)</f>
        <v>0</v>
      </c>
      <c r="CW69" s="10"/>
      <c r="CX69" s="10"/>
      <c r="CY69" s="11"/>
      <c r="CZ69" s="12">
        <f t="shared" ref="CZ69:CZ100" si="25">ROUND(SUM(R69,AI69,CV69,CW69,CX69,CY69),2)</f>
        <v>0</v>
      </c>
      <c r="DA69" s="13">
        <f t="shared" ref="DA69:DA100" si="26">ROUND(CZ69/110*100,1)</f>
        <v>0</v>
      </c>
      <c r="DB69" s="14" t="str">
        <f t="shared" si="9"/>
        <v xml:space="preserve"> </v>
      </c>
      <c r="DE69" s="15" t="str">
        <f t="shared" ref="DE69:DE100" si="27">IF(A69="","",DA69-ROW()/100000000)</f>
        <v/>
      </c>
    </row>
    <row r="70" spans="1:109" ht="15" customHeight="1" x14ac:dyDescent="0.25">
      <c r="A70" s="7"/>
      <c r="B70" s="8" t="str">
        <f>IF(COUNTA(C3,D3,E3,F3,G3,H3,I3,J3,K3,L3,M3,N3,O3,P3,Q3)=0,"",COUNTA(C3,D3,E3,F3,G3,H3,I3,J3,K3,L3,M3,N3,O3,P3,Q3))</f>
        <v/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9">
        <f t="shared" si="19"/>
        <v>0</v>
      </c>
      <c r="S70" s="8" t="str">
        <f>IF(COUNTA(T3,U3,V3,W3,X3,Y3,Z3,AA3,AB3,AC3,AD3,AE3,AF3,AG3,AH3)=0,"",COUNTA(T3,U3,V3,W3,X3,Y3,Z3,AA3,AB3,AC3,AD3,AE3,AF3,AG3,AH3))</f>
        <v/>
      </c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9">
        <f t="shared" si="20"/>
        <v>0</v>
      </c>
      <c r="AJ70" s="9" t="str">
        <f>IF(COUNTA(AK3,AN3,AQ3,AT3,AW3,AZ3,BC3,BF3,BI3,BL3,BO3,BR3,BU3,BX3,CA3,CD3,CG3,CJ3,CM3,CP3)=0,"",COUNTA(AK3,AN3,AQ3,AT3,AW3,AZ3,BC3,BF3,BI3,BL3,BO3,BR3,BU3,BX3,CA3,CD3,CG3,CJ3,CM3,CP3))</f>
        <v/>
      </c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9">
        <f t="shared" si="21"/>
        <v>0</v>
      </c>
      <c r="CT70" s="9">
        <f t="shared" si="22"/>
        <v>0</v>
      </c>
      <c r="CU70" s="9">
        <f t="shared" si="23"/>
        <v>0</v>
      </c>
      <c r="CV70" s="9">
        <f t="shared" si="24"/>
        <v>0</v>
      </c>
      <c r="CW70" s="10"/>
      <c r="CX70" s="10"/>
      <c r="CY70" s="11"/>
      <c r="CZ70" s="12">
        <f t="shared" si="25"/>
        <v>0</v>
      </c>
      <c r="DA70" s="13">
        <f t="shared" si="26"/>
        <v>0</v>
      </c>
      <c r="DB70" s="14" t="str">
        <f t="shared" ref="DB70:DB121" si="28">IF(CZ70&gt;=90,"A",IF(CZ70&gt;=80,"B",IF(CZ70&gt;=70,"C",IF(CZ70&gt;=60,"D",IF(CZ70&gt;0,"F"," ")))))</f>
        <v xml:space="preserve"> </v>
      </c>
      <c r="DE70" s="15" t="str">
        <f t="shared" si="27"/>
        <v/>
      </c>
    </row>
    <row r="71" spans="1:109" ht="15" customHeight="1" x14ac:dyDescent="0.25">
      <c r="A71" s="16"/>
      <c r="B71" s="8" t="str">
        <f>IF(COUNTA(C3,D3,E3,F3,G3,H3,I3,J3,K3,L3,M3,N3,O3,P3,Q3)=0,"",COUNTA(C3,D3,E3,F3,G3,H3,I3,J3,K3,L3,M3,N3,O3,P3,Q3))</f>
        <v/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9">
        <f t="shared" si="19"/>
        <v>0</v>
      </c>
      <c r="S71" s="8" t="str">
        <f>IF(COUNTA(T3,U3,V3,W3,X3,Y3,Z3,AA3,AB3,AC3,AD3,AE3,AF3,AG3,AH3)=0,"",COUNTA(T3,U3,V3,W3,X3,Y3,Z3,AA3,AB3,AC3,AD3,AE3,AF3,AG3,AH3))</f>
        <v/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9">
        <f t="shared" si="20"/>
        <v>0</v>
      </c>
      <c r="AJ71" s="9" t="str">
        <f>IF(COUNTA(AK3,AN3,AQ3,AT3,AW3,AZ3,BC3,BF3,BI3,BL3,BO3,BR3,BU3,BX3,CA3,CD3,CG3,CJ3,CM3,CP3)=0,"",COUNTA(AK3,AN3,AQ3,AT3,AW3,AZ3,BC3,BF3,BI3,BL3,BO3,BR3,BU3,BX3,CA3,CD3,CG3,CJ3,CM3,CP3))</f>
        <v/>
      </c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9">
        <f t="shared" si="21"/>
        <v>0</v>
      </c>
      <c r="CT71" s="9">
        <f t="shared" si="22"/>
        <v>0</v>
      </c>
      <c r="CU71" s="9">
        <f t="shared" si="23"/>
        <v>0</v>
      </c>
      <c r="CV71" s="9">
        <f t="shared" si="24"/>
        <v>0</v>
      </c>
      <c r="CW71" s="10"/>
      <c r="CX71" s="10"/>
      <c r="CY71" s="11"/>
      <c r="CZ71" s="12">
        <f t="shared" si="25"/>
        <v>0</v>
      </c>
      <c r="DA71" s="13">
        <f t="shared" si="26"/>
        <v>0</v>
      </c>
      <c r="DB71" s="14" t="str">
        <f t="shared" si="28"/>
        <v xml:space="preserve"> </v>
      </c>
      <c r="DE71" s="15" t="str">
        <f t="shared" si="27"/>
        <v/>
      </c>
    </row>
    <row r="72" spans="1:109" ht="15" customHeight="1" x14ac:dyDescent="0.25">
      <c r="A72" s="7"/>
      <c r="B72" s="8" t="str">
        <f>IF(COUNTA(C3,D3,E3,F3,G3,H3,I3,J3,K3,L3,M3,N3,O3,P3,Q3)=0,"",COUNTA(C3,D3,E3,F3,G3,H3,I3,J3,K3,L3,M3,N3,O3,P3,Q3))</f>
        <v/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9">
        <f t="shared" si="19"/>
        <v>0</v>
      </c>
      <c r="S72" s="8" t="str">
        <f>IF(COUNTA(T3,U3,V3,W3,X3,Y3,Z3,AA3,AB3,AC3,AD3,AE3,AF3,AG3,AH3)=0,"",COUNTA(T3,U3,V3,W3,X3,Y3,Z3,AA3,AB3,AC3,AD3,AE3,AF3,AG3,AH3))</f>
        <v/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9">
        <f t="shared" si="20"/>
        <v>0</v>
      </c>
      <c r="AJ72" s="9" t="str">
        <f>IF(COUNTA(AK3,AN3,AQ3,AT3,AW3,AZ3,BC3,BF3,BI3,BL3,BO3,BR3,BU3,BX3,CA3,CD3,CG3,CJ3,CM3,CP3)=0,"",COUNTA(AK3,AN3,AQ3,AT3,AW3,AZ3,BC3,BF3,BI3,BL3,BO3,BR3,BU3,BX3,CA3,CD3,CG3,CJ3,CM3,CP3))</f>
        <v/>
      </c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9">
        <f t="shared" si="21"/>
        <v>0</v>
      </c>
      <c r="CT72" s="9">
        <f t="shared" si="22"/>
        <v>0</v>
      </c>
      <c r="CU72" s="9">
        <f t="shared" si="23"/>
        <v>0</v>
      </c>
      <c r="CV72" s="9">
        <f t="shared" si="24"/>
        <v>0</v>
      </c>
      <c r="CW72" s="10"/>
      <c r="CX72" s="10"/>
      <c r="CY72" s="11"/>
      <c r="CZ72" s="12">
        <f t="shared" si="25"/>
        <v>0</v>
      </c>
      <c r="DA72" s="13">
        <f t="shared" si="26"/>
        <v>0</v>
      </c>
      <c r="DB72" s="14" t="str">
        <f t="shared" si="28"/>
        <v xml:space="preserve"> </v>
      </c>
      <c r="DE72" s="15" t="str">
        <f t="shared" si="27"/>
        <v/>
      </c>
    </row>
    <row r="73" spans="1:109" ht="15" customHeight="1" x14ac:dyDescent="0.25">
      <c r="A73" s="16"/>
      <c r="B73" s="8" t="str">
        <f>IF(COUNTA(C3,D3,E3,F3,G3,H3,I3,J3,K3,L3,M3,N3,O3,P3,Q3)=0,"",COUNTA(C3,D3,E3,F3,G3,H3,I3,J3,K3,L3,M3,N3,O3,P3,Q3))</f>
        <v/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9">
        <f t="shared" si="19"/>
        <v>0</v>
      </c>
      <c r="S73" s="8" t="str">
        <f>IF(COUNTA(T3,U3,V3,W3,X3,Y3,Z3,AA3,AB3,AC3,AD3,AE3,AF3,AG3,AH3)=0,"",COUNTA(T3,U3,V3,W3,X3,Y3,Z3,AA3,AB3,AC3,AD3,AE3,AF3,AG3,AH3))</f>
        <v/>
      </c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9">
        <f t="shared" si="20"/>
        <v>0</v>
      </c>
      <c r="AJ73" s="9" t="str">
        <f>IF(COUNTA(AK3,AN3,AQ3,AT3,AW3,AZ3,BC3,BF3,BI3,BL3,BO3,BR3,BU3,BX3,CA3,CD3,CG3,CJ3,CM3,CP3)=0,"",COUNTA(AK3,AN3,AQ3,AT3,AW3,AZ3,BC3,BF3,BI3,BL3,BO3,BR3,BU3,BX3,CA3,CD3,CG3,CJ3,CM3,CP3))</f>
        <v/>
      </c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9">
        <f t="shared" si="21"/>
        <v>0</v>
      </c>
      <c r="CT73" s="9">
        <f t="shared" si="22"/>
        <v>0</v>
      </c>
      <c r="CU73" s="9">
        <f t="shared" si="23"/>
        <v>0</v>
      </c>
      <c r="CV73" s="9">
        <f t="shared" si="24"/>
        <v>0</v>
      </c>
      <c r="CW73" s="10"/>
      <c r="CX73" s="10"/>
      <c r="CY73" s="11"/>
      <c r="CZ73" s="12">
        <f t="shared" si="25"/>
        <v>0</v>
      </c>
      <c r="DA73" s="13">
        <f t="shared" si="26"/>
        <v>0</v>
      </c>
      <c r="DB73" s="14" t="str">
        <f t="shared" si="28"/>
        <v xml:space="preserve"> </v>
      </c>
      <c r="DE73" s="15" t="str">
        <f t="shared" si="27"/>
        <v/>
      </c>
    </row>
    <row r="74" spans="1:109" ht="15" customHeight="1" x14ac:dyDescent="0.25">
      <c r="A74" s="7"/>
      <c r="B74" s="8" t="str">
        <f>IF(COUNTA(C3,D3,E3,F3,G3,H3,I3,J3,K3,L3,M3,N3,O3,P3,Q3)=0,"",COUNTA(C3,D3,E3,F3,G3,H3,I3,J3,K3,L3,M3,N3,O3,P3,Q3))</f>
        <v/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9">
        <f t="shared" si="19"/>
        <v>0</v>
      </c>
      <c r="S74" s="8" t="str">
        <f>IF(COUNTA(T3,U3,V3,W3,X3,Y3,Z3,AA3,AB3,AC3,AD3,AE3,AF3,AG3,AH3)=0,"",COUNTA(T3,U3,V3,W3,X3,Y3,Z3,AA3,AB3,AC3,AD3,AE3,AF3,AG3,AH3))</f>
        <v/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9">
        <f t="shared" si="20"/>
        <v>0</v>
      </c>
      <c r="AJ74" s="9" t="str">
        <f>IF(COUNTA(AK3,AN3,AQ3,AT3,AW3,AZ3,BC3,BF3,BI3,BL3,BO3,BR3,BU3,BX3,CA3,CD3,CG3,CJ3,CM3,CP3)=0,"",COUNTA(AK3,AN3,AQ3,AT3,AW3,AZ3,BC3,BF3,BI3,BL3,BO3,BR3,BU3,BX3,CA3,CD3,CG3,CJ3,CM3,CP3))</f>
        <v/>
      </c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9">
        <f t="shared" si="21"/>
        <v>0</v>
      </c>
      <c r="CT74" s="9">
        <f t="shared" si="22"/>
        <v>0</v>
      </c>
      <c r="CU74" s="9">
        <f t="shared" si="23"/>
        <v>0</v>
      </c>
      <c r="CV74" s="9">
        <f t="shared" si="24"/>
        <v>0</v>
      </c>
      <c r="CW74" s="10"/>
      <c r="CX74" s="10"/>
      <c r="CY74" s="11"/>
      <c r="CZ74" s="12">
        <f t="shared" si="25"/>
        <v>0</v>
      </c>
      <c r="DA74" s="13">
        <f t="shared" si="26"/>
        <v>0</v>
      </c>
      <c r="DB74" s="14" t="str">
        <f t="shared" si="28"/>
        <v xml:space="preserve"> </v>
      </c>
      <c r="DE74" s="15" t="str">
        <f t="shared" si="27"/>
        <v/>
      </c>
    </row>
    <row r="75" spans="1:109" ht="15" customHeight="1" x14ac:dyDescent="0.25">
      <c r="A75" s="16"/>
      <c r="B75" s="8" t="str">
        <f>IF(COUNTA(C3,D3,E3,F3,G3,H3,I3,J3,K3,L3,M3,N3,O3,P3,Q3)=0,"",COUNTA(C3,D3,E3,F3,G3,H3,I3,J3,K3,L3,M3,N3,O3,P3,Q3))</f>
        <v/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9">
        <f t="shared" si="19"/>
        <v>0</v>
      </c>
      <c r="S75" s="8" t="str">
        <f>IF(COUNTA(T3,U3,V3,W3,X3,Y3,Z3,AA3,AB3,AC3,AD3,AE3,AF3,AG3,AH3)=0,"",COUNTA(T3,U3,V3,W3,X3,Y3,Z3,AA3,AB3,AC3,AD3,AE3,AF3,AG3,AH3))</f>
        <v/>
      </c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9">
        <f t="shared" si="20"/>
        <v>0</v>
      </c>
      <c r="AJ75" s="9" t="str">
        <f>IF(COUNTA(AK3,AN3,AQ3,AT3,AW3,AZ3,BC3,BF3,BI3,BL3,BO3,BR3,BU3,BX3,CA3,CD3,CG3,CJ3,CM3,CP3)=0,"",COUNTA(AK3,AN3,AQ3,AT3,AW3,AZ3,BC3,BF3,BI3,BL3,BO3,BR3,BU3,BX3,CA3,CD3,CG3,CJ3,CM3,CP3))</f>
        <v/>
      </c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9">
        <f t="shared" si="21"/>
        <v>0</v>
      </c>
      <c r="CT75" s="9">
        <f t="shared" si="22"/>
        <v>0</v>
      </c>
      <c r="CU75" s="9">
        <f t="shared" si="23"/>
        <v>0</v>
      </c>
      <c r="CV75" s="9">
        <f t="shared" si="24"/>
        <v>0</v>
      </c>
      <c r="CW75" s="10"/>
      <c r="CX75" s="10"/>
      <c r="CY75" s="11"/>
      <c r="CZ75" s="12">
        <f t="shared" si="25"/>
        <v>0</v>
      </c>
      <c r="DA75" s="13">
        <f t="shared" si="26"/>
        <v>0</v>
      </c>
      <c r="DB75" s="14" t="str">
        <f t="shared" si="28"/>
        <v xml:space="preserve"> </v>
      </c>
      <c r="DE75" s="15" t="str">
        <f t="shared" si="27"/>
        <v/>
      </c>
    </row>
    <row r="76" spans="1:109" ht="15" customHeight="1" x14ac:dyDescent="0.25">
      <c r="A76" s="7"/>
      <c r="B76" s="8" t="str">
        <f>IF(COUNTA(C3,D3,E3,F3,G3,H3,I3,J3,K3,L3,M3,N3,O3,P3,Q3)=0,"",COUNTA(C3,D3,E3,F3,G3,H3,I3,J3,K3,L3,M3,N3,O3,P3,Q3))</f>
        <v/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9">
        <f t="shared" si="19"/>
        <v>0</v>
      </c>
      <c r="S76" s="8" t="str">
        <f>IF(COUNTA(T3,U3,V3,W3,X3,Y3,Z3,AA3,AB3,AC3,AD3,AE3,AF3,AG3,AH3)=0,"",COUNTA(T3,U3,V3,W3,X3,Y3,Z3,AA3,AB3,AC3,AD3,AE3,AF3,AG3,AH3))</f>
        <v/>
      </c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9">
        <f t="shared" si="20"/>
        <v>0</v>
      </c>
      <c r="AJ76" s="9" t="str">
        <f>IF(COUNTA(AK3,AN3,AQ3,AT3,AW3,AZ3,BC3,BF3,BI3,BL3,BO3,BR3,BU3,BX3,CA3,CD3,CG3,CJ3,CM3,CP3)=0,"",COUNTA(AK3,AN3,AQ3,AT3,AW3,AZ3,BC3,BF3,BI3,BL3,BO3,BR3,BU3,BX3,CA3,CD3,CG3,CJ3,CM3,CP3))</f>
        <v/>
      </c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9">
        <f t="shared" si="21"/>
        <v>0</v>
      </c>
      <c r="CT76" s="9">
        <f t="shared" si="22"/>
        <v>0</v>
      </c>
      <c r="CU76" s="9">
        <f t="shared" si="23"/>
        <v>0</v>
      </c>
      <c r="CV76" s="9">
        <f t="shared" si="24"/>
        <v>0</v>
      </c>
      <c r="CW76" s="10"/>
      <c r="CX76" s="10"/>
      <c r="CY76" s="11"/>
      <c r="CZ76" s="12">
        <f t="shared" si="25"/>
        <v>0</v>
      </c>
      <c r="DA76" s="13">
        <f t="shared" si="26"/>
        <v>0</v>
      </c>
      <c r="DB76" s="14" t="str">
        <f t="shared" si="28"/>
        <v xml:space="preserve"> </v>
      </c>
      <c r="DE76" s="15" t="str">
        <f t="shared" si="27"/>
        <v/>
      </c>
    </row>
    <row r="77" spans="1:109" ht="15" customHeight="1" x14ac:dyDescent="0.25">
      <c r="A77" s="16"/>
      <c r="B77" s="8" t="str">
        <f>IF(COUNTA(C3,D3,E3,F3,G3,H3,I3,J3,K3,L3,M3,N3,O3,P3,Q3)=0,"",COUNTA(C3,D3,E3,F3,G3,H3,I3,J3,K3,L3,M3,N3,O3,P3,Q3))</f>
        <v/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9">
        <f t="shared" si="19"/>
        <v>0</v>
      </c>
      <c r="S77" s="8" t="str">
        <f>IF(COUNTA(T3,U3,V3,W3,X3,Y3,Z3,AA3,AB3,AC3,AD3,AE3,AF3,AG3,AH3)=0,"",COUNTA(T3,U3,V3,W3,X3,Y3,Z3,AA3,AB3,AC3,AD3,AE3,AF3,AG3,AH3))</f>
        <v/>
      </c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9">
        <f t="shared" si="20"/>
        <v>0</v>
      </c>
      <c r="AJ77" s="9" t="str">
        <f>IF(COUNTA(AK3,AN3,AQ3,AT3,AW3,AZ3,BC3,BF3,BI3,BL3,BO3,BR3,BU3,BX3,CA3,CD3,CG3,CJ3,CM3,CP3)=0,"",COUNTA(AK3,AN3,AQ3,AT3,AW3,AZ3,BC3,BF3,BI3,BL3,BO3,BR3,BU3,BX3,CA3,CD3,CG3,CJ3,CM3,CP3))</f>
        <v/>
      </c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9">
        <f t="shared" si="21"/>
        <v>0</v>
      </c>
      <c r="CT77" s="9">
        <f t="shared" si="22"/>
        <v>0</v>
      </c>
      <c r="CU77" s="9">
        <f t="shared" si="23"/>
        <v>0</v>
      </c>
      <c r="CV77" s="9">
        <f t="shared" si="24"/>
        <v>0</v>
      </c>
      <c r="CW77" s="10"/>
      <c r="CX77" s="10"/>
      <c r="CY77" s="11"/>
      <c r="CZ77" s="12">
        <f t="shared" si="25"/>
        <v>0</v>
      </c>
      <c r="DA77" s="13">
        <f t="shared" si="26"/>
        <v>0</v>
      </c>
      <c r="DB77" s="14" t="str">
        <f t="shared" si="28"/>
        <v xml:space="preserve"> </v>
      </c>
      <c r="DE77" s="15" t="str">
        <f t="shared" si="27"/>
        <v/>
      </c>
    </row>
    <row r="78" spans="1:109" ht="15" customHeight="1" x14ac:dyDescent="0.25">
      <c r="A78" s="7"/>
      <c r="B78" s="8" t="str">
        <f>IF(COUNTA(C3,D3,E3,F3,G3,H3,I3,J3,K3,L3,M3,N3,O3,P3,Q3)=0,"",COUNTA(C3,D3,E3,F3,G3,H3,I3,J3,K3,L3,M3,N3,O3,P3,Q3))</f>
        <v/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9">
        <f t="shared" si="19"/>
        <v>0</v>
      </c>
      <c r="S78" s="8" t="str">
        <f>IF(COUNTA(T3,U3,V3,W3,X3,Y3,Z3,AA3,AB3,AC3,AD3,AE3,AF3,AG3,AH3)=0,"",COUNTA(T3,U3,V3,W3,X3,Y3,Z3,AA3,AB3,AC3,AD3,AE3,AF3,AG3,AH3))</f>
        <v/>
      </c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9">
        <f t="shared" si="20"/>
        <v>0</v>
      </c>
      <c r="AJ78" s="9" t="str">
        <f>IF(COUNTA(AK3,AN3,AQ3,AT3,AW3,AZ3,BC3,BF3,BI3,BL3,BO3,BR3,BU3,BX3,CA3,CD3,CG3,CJ3,CM3,CP3)=0,"",COUNTA(AK3,AN3,AQ3,AT3,AW3,AZ3,BC3,BF3,BI3,BL3,BO3,BR3,BU3,BX3,CA3,CD3,CG3,CJ3,CM3,CP3))</f>
        <v/>
      </c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9">
        <f t="shared" si="21"/>
        <v>0</v>
      </c>
      <c r="CT78" s="9">
        <f t="shared" si="22"/>
        <v>0</v>
      </c>
      <c r="CU78" s="9">
        <f t="shared" si="23"/>
        <v>0</v>
      </c>
      <c r="CV78" s="9">
        <f t="shared" si="24"/>
        <v>0</v>
      </c>
      <c r="CW78" s="10"/>
      <c r="CX78" s="10"/>
      <c r="CY78" s="11"/>
      <c r="CZ78" s="12">
        <f t="shared" si="25"/>
        <v>0</v>
      </c>
      <c r="DA78" s="13">
        <f t="shared" si="26"/>
        <v>0</v>
      </c>
      <c r="DB78" s="14" t="str">
        <f t="shared" si="28"/>
        <v xml:space="preserve"> </v>
      </c>
      <c r="DE78" s="15" t="str">
        <f t="shared" si="27"/>
        <v/>
      </c>
    </row>
    <row r="79" spans="1:109" ht="15" customHeight="1" x14ac:dyDescent="0.25">
      <c r="A79" s="16"/>
      <c r="B79" s="8" t="str">
        <f>IF(COUNTA(C3,D3,E3,F3,G3,H3,I3,J3,K3,L3,M3,N3,O3,P3,Q3)=0,"",COUNTA(C3,D3,E3,F3,G3,H3,I3,J3,K3,L3,M3,N3,O3,P3,Q3))</f>
        <v/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9">
        <f t="shared" si="19"/>
        <v>0</v>
      </c>
      <c r="S79" s="8" t="str">
        <f>IF(COUNTA(T3,U3,V3,W3,X3,Y3,Z3,AA3,AB3,AC3,AD3,AE3,AF3,AG3,AH3)=0,"",COUNTA(T3,U3,V3,W3,X3,Y3,Z3,AA3,AB3,AC3,AD3,AE3,AF3,AG3,AH3))</f>
        <v/>
      </c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9">
        <f t="shared" si="20"/>
        <v>0</v>
      </c>
      <c r="AJ79" s="9" t="str">
        <f>IF(COUNTA(AK3,AN3,AQ3,AT3,AW3,AZ3,BC3,BF3,BI3,BL3,BO3,BR3,BU3,BX3,CA3,CD3,CG3,CJ3,CM3,CP3)=0,"",COUNTA(AK3,AN3,AQ3,AT3,AW3,AZ3,BC3,BF3,BI3,BL3,BO3,BR3,BU3,BX3,CA3,CD3,CG3,CJ3,CM3,CP3))</f>
        <v/>
      </c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9">
        <f t="shared" si="21"/>
        <v>0</v>
      </c>
      <c r="CT79" s="9">
        <f t="shared" si="22"/>
        <v>0</v>
      </c>
      <c r="CU79" s="9">
        <f t="shared" si="23"/>
        <v>0</v>
      </c>
      <c r="CV79" s="9">
        <f t="shared" si="24"/>
        <v>0</v>
      </c>
      <c r="CW79" s="10"/>
      <c r="CX79" s="10"/>
      <c r="CY79" s="11"/>
      <c r="CZ79" s="12">
        <f t="shared" si="25"/>
        <v>0</v>
      </c>
      <c r="DA79" s="13">
        <f t="shared" si="26"/>
        <v>0</v>
      </c>
      <c r="DB79" s="14" t="str">
        <f t="shared" si="28"/>
        <v xml:space="preserve"> </v>
      </c>
      <c r="DE79" s="15" t="str">
        <f t="shared" si="27"/>
        <v/>
      </c>
    </row>
    <row r="80" spans="1:109" ht="15" customHeight="1" x14ac:dyDescent="0.25">
      <c r="A80" s="7"/>
      <c r="B80" s="8" t="str">
        <f>IF(COUNTA(C3,D3,E3,F3,G3,H3,I3,J3,K3,L3,M3,N3,O3,P3,Q3)=0,"",COUNTA(C3,D3,E3,F3,G3,H3,I3,J3,K3,L3,M3,N3,O3,P3,Q3))</f>
        <v/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9">
        <f t="shared" si="19"/>
        <v>0</v>
      </c>
      <c r="S80" s="8" t="str">
        <f>IF(COUNTA(T3,U3,V3,W3,X3,Y3,Z3,AA3,AB3,AC3,AD3,AE3,AF3,AG3,AH3)=0,"",COUNTA(T3,U3,V3,W3,X3,Y3,Z3,AA3,AB3,AC3,AD3,AE3,AF3,AG3,AH3))</f>
        <v/>
      </c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9">
        <f t="shared" si="20"/>
        <v>0</v>
      </c>
      <c r="AJ80" s="9" t="str">
        <f>IF(COUNTA(AK3,AN3,AQ3,AT3,AW3,AZ3,BC3,BF3,BI3,BL3,BO3,BR3,BU3,BX3,CA3,CD3,CG3,CJ3,CM3,CP3)=0,"",COUNTA(AK3,AN3,AQ3,AT3,AW3,AZ3,BC3,BF3,BI3,BL3,BO3,BR3,BU3,BX3,CA3,CD3,CG3,CJ3,CM3,CP3))</f>
        <v/>
      </c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9">
        <f t="shared" si="21"/>
        <v>0</v>
      </c>
      <c r="CT80" s="9">
        <f t="shared" si="22"/>
        <v>0</v>
      </c>
      <c r="CU80" s="9">
        <f t="shared" si="23"/>
        <v>0</v>
      </c>
      <c r="CV80" s="9">
        <f t="shared" si="24"/>
        <v>0</v>
      </c>
      <c r="CW80" s="10"/>
      <c r="CX80" s="10"/>
      <c r="CY80" s="11"/>
      <c r="CZ80" s="12">
        <f t="shared" si="25"/>
        <v>0</v>
      </c>
      <c r="DA80" s="13">
        <f t="shared" si="26"/>
        <v>0</v>
      </c>
      <c r="DB80" s="14" t="str">
        <f t="shared" si="28"/>
        <v xml:space="preserve"> </v>
      </c>
      <c r="DE80" s="15" t="str">
        <f t="shared" si="27"/>
        <v/>
      </c>
    </row>
    <row r="81" spans="1:109" ht="15" customHeight="1" x14ac:dyDescent="0.25">
      <c r="A81" s="16"/>
      <c r="B81" s="8" t="str">
        <f>IF(COUNTA(C3,D3,E3,F3,G3,H3,I3,J3,K3,L3,M3,N3,O3,P3,Q3)=0,"",COUNTA(C3,D3,E3,F3,G3,H3,I3,J3,K3,L3,M3,N3,O3,P3,Q3))</f>
        <v/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9">
        <f t="shared" si="19"/>
        <v>0</v>
      </c>
      <c r="S81" s="8" t="str">
        <f>IF(COUNTA(T3,U3,V3,W3,X3,Y3,Z3,AA3,AB3,AC3,AD3,AE3,AF3,AG3,AH3)=0,"",COUNTA(T3,U3,V3,W3,X3,Y3,Z3,AA3,AB3,AC3,AD3,AE3,AF3,AG3,AH3))</f>
        <v/>
      </c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9">
        <f t="shared" si="20"/>
        <v>0</v>
      </c>
      <c r="AJ81" s="9" t="str">
        <f>IF(COUNTA(AK3,AN3,AQ3,AT3,AW3,AZ3,BC3,BF3,BI3,BL3,BO3,BR3,BU3,BX3,CA3,CD3,CG3,CJ3,CM3,CP3)=0,"",COUNTA(AK3,AN3,AQ3,AT3,AW3,AZ3,BC3,BF3,BI3,BL3,BO3,BR3,BU3,BX3,CA3,CD3,CG3,CJ3,CM3,CP3))</f>
        <v/>
      </c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9">
        <f t="shared" si="21"/>
        <v>0</v>
      </c>
      <c r="CT81" s="9">
        <f t="shared" si="22"/>
        <v>0</v>
      </c>
      <c r="CU81" s="9">
        <f t="shared" si="23"/>
        <v>0</v>
      </c>
      <c r="CV81" s="9">
        <f t="shared" si="24"/>
        <v>0</v>
      </c>
      <c r="CW81" s="10"/>
      <c r="CX81" s="10"/>
      <c r="CY81" s="11"/>
      <c r="CZ81" s="12">
        <f t="shared" si="25"/>
        <v>0</v>
      </c>
      <c r="DA81" s="13">
        <f t="shared" si="26"/>
        <v>0</v>
      </c>
      <c r="DB81" s="14" t="str">
        <f t="shared" si="28"/>
        <v xml:space="preserve"> </v>
      </c>
      <c r="DE81" s="15" t="str">
        <f t="shared" si="27"/>
        <v/>
      </c>
    </row>
    <row r="82" spans="1:109" ht="15" customHeight="1" x14ac:dyDescent="0.25">
      <c r="A82" s="7"/>
      <c r="B82" s="8" t="str">
        <f>IF(COUNTA(C3,D3,E3,F3,G3,H3,I3,J3,K3,L3,M3,N3,O3,P3,Q3)=0,"",COUNTA(C3,D3,E3,F3,G3,H3,I3,J3,K3,L3,M3,N3,O3,P3,Q3))</f>
        <v/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9">
        <f t="shared" si="19"/>
        <v>0</v>
      </c>
      <c r="S82" s="8" t="str">
        <f>IF(COUNTA(T3,U3,V3,W3,X3,Y3,Z3,AA3,AB3,AC3,AD3,AE3,AF3,AG3,AH3)=0,"",COUNTA(T3,U3,V3,W3,X3,Y3,Z3,AA3,AB3,AC3,AD3,AE3,AF3,AG3,AH3))</f>
        <v/>
      </c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9">
        <f t="shared" si="20"/>
        <v>0</v>
      </c>
      <c r="AJ82" s="9" t="str">
        <f>IF(COUNTA(AK3,AN3,AQ3,AT3,AW3,AZ3,BC3,BF3,BI3,BL3,BO3,BR3,BU3,BX3,CA3,CD3,CG3,CJ3,CM3,CP3)=0,"",COUNTA(AK3,AN3,AQ3,AT3,AW3,AZ3,BC3,BF3,BI3,BL3,BO3,BR3,BU3,BX3,CA3,CD3,CG3,CJ3,CM3,CP3))</f>
        <v/>
      </c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9">
        <f t="shared" si="21"/>
        <v>0</v>
      </c>
      <c r="CT82" s="9">
        <f t="shared" si="22"/>
        <v>0</v>
      </c>
      <c r="CU82" s="9">
        <f t="shared" si="23"/>
        <v>0</v>
      </c>
      <c r="CV82" s="9">
        <f t="shared" si="24"/>
        <v>0</v>
      </c>
      <c r="CW82" s="10"/>
      <c r="CX82" s="10"/>
      <c r="CY82" s="11"/>
      <c r="CZ82" s="12">
        <f t="shared" si="25"/>
        <v>0</v>
      </c>
      <c r="DA82" s="13">
        <f t="shared" si="26"/>
        <v>0</v>
      </c>
      <c r="DB82" s="14" t="str">
        <f t="shared" si="28"/>
        <v xml:space="preserve"> </v>
      </c>
      <c r="DE82" s="15" t="str">
        <f t="shared" si="27"/>
        <v/>
      </c>
    </row>
    <row r="83" spans="1:109" ht="15" customHeight="1" x14ac:dyDescent="0.25">
      <c r="A83" s="16"/>
      <c r="B83" s="8" t="str">
        <f>IF(COUNTA(C3,D3,E3,F3,G3,H3,I3,J3,K3,L3,M3,N3,O3,P3,Q3)=0,"",COUNTA(C3,D3,E3,F3,G3,H3,I3,J3,K3,L3,M3,N3,O3,P3,Q3))</f>
        <v/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9">
        <f t="shared" si="19"/>
        <v>0</v>
      </c>
      <c r="S83" s="8" t="str">
        <f>IF(COUNTA(T3,U3,V3,W3,X3,Y3,Z3,AA3,AB3,AC3,AD3,AE3,AF3,AG3,AH3)=0,"",COUNTA(T3,U3,V3,W3,X3,Y3,Z3,AA3,AB3,AC3,AD3,AE3,AF3,AG3,AH3))</f>
        <v/>
      </c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9">
        <f t="shared" si="20"/>
        <v>0</v>
      </c>
      <c r="AJ83" s="9" t="str">
        <f>IF(COUNTA(AK3,AN3,AQ3,AT3,AW3,AZ3,BC3,BF3,BI3,BL3,BO3,BR3,BU3,BX3,CA3,CD3,CG3,CJ3,CM3,CP3)=0,"",COUNTA(AK3,AN3,AQ3,AT3,AW3,AZ3,BC3,BF3,BI3,BL3,BO3,BR3,BU3,BX3,CA3,CD3,CG3,CJ3,CM3,CP3))</f>
        <v/>
      </c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9">
        <f t="shared" si="21"/>
        <v>0</v>
      </c>
      <c r="CT83" s="9">
        <f t="shared" si="22"/>
        <v>0</v>
      </c>
      <c r="CU83" s="9">
        <f t="shared" si="23"/>
        <v>0</v>
      </c>
      <c r="CV83" s="9">
        <f t="shared" si="24"/>
        <v>0</v>
      </c>
      <c r="CW83" s="10"/>
      <c r="CX83" s="10"/>
      <c r="CY83" s="11"/>
      <c r="CZ83" s="12">
        <f t="shared" si="25"/>
        <v>0</v>
      </c>
      <c r="DA83" s="13">
        <f t="shared" si="26"/>
        <v>0</v>
      </c>
      <c r="DB83" s="14" t="str">
        <f t="shared" si="28"/>
        <v xml:space="preserve"> </v>
      </c>
      <c r="DE83" s="15" t="str">
        <f t="shared" si="27"/>
        <v/>
      </c>
    </row>
    <row r="84" spans="1:109" ht="15" customHeight="1" x14ac:dyDescent="0.25">
      <c r="A84" s="7"/>
      <c r="B84" s="8" t="str">
        <f>IF(COUNTA(C3,D3,E3,F3,G3,H3,I3,J3,K3,L3,M3,N3,O3,P3,Q3)=0,"",COUNTA(C3,D3,E3,F3,G3,H3,I3,J3,K3,L3,M3,N3,O3,P3,Q3))</f>
        <v/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9">
        <f t="shared" si="19"/>
        <v>0</v>
      </c>
      <c r="S84" s="8" t="str">
        <f>IF(COUNTA(T3,U3,V3,W3,X3,Y3,Z3,AA3,AB3,AC3,AD3,AE3,AF3,AG3,AH3)=0,"",COUNTA(T3,U3,V3,W3,X3,Y3,Z3,AA3,AB3,AC3,AD3,AE3,AF3,AG3,AH3))</f>
        <v/>
      </c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9">
        <f t="shared" si="20"/>
        <v>0</v>
      </c>
      <c r="AJ84" s="9" t="str">
        <f>IF(COUNTA(AK3,AN3,AQ3,AT3,AW3,AZ3,BC3,BF3,BI3,BL3,BO3,BR3,BU3,BX3,CA3,CD3,CG3,CJ3,CM3,CP3)=0,"",COUNTA(AK3,AN3,AQ3,AT3,AW3,AZ3,BC3,BF3,BI3,BL3,BO3,BR3,BU3,BX3,CA3,CD3,CG3,CJ3,CM3,CP3))</f>
        <v/>
      </c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9">
        <f t="shared" si="21"/>
        <v>0</v>
      </c>
      <c r="CT84" s="9">
        <f t="shared" si="22"/>
        <v>0</v>
      </c>
      <c r="CU84" s="9">
        <f t="shared" si="23"/>
        <v>0</v>
      </c>
      <c r="CV84" s="9">
        <f t="shared" si="24"/>
        <v>0</v>
      </c>
      <c r="CW84" s="10"/>
      <c r="CX84" s="10"/>
      <c r="CY84" s="11"/>
      <c r="CZ84" s="12">
        <f t="shared" si="25"/>
        <v>0</v>
      </c>
      <c r="DA84" s="13">
        <f t="shared" si="26"/>
        <v>0</v>
      </c>
      <c r="DB84" s="14" t="str">
        <f t="shared" si="28"/>
        <v xml:space="preserve"> </v>
      </c>
      <c r="DE84" s="15" t="str">
        <f t="shared" si="27"/>
        <v/>
      </c>
    </row>
    <row r="85" spans="1:109" ht="15" customHeight="1" x14ac:dyDescent="0.25">
      <c r="A85" s="16"/>
      <c r="B85" s="8" t="str">
        <f>IF(COUNTA(C3,D3,E3,F3,G3,H3,I3,J3,K3,L3,M3,N3,O3,P3,Q3)=0,"",COUNTA(C3,D3,E3,F3,G3,H3,I3,J3,K3,L3,M3,N3,O3,P3,Q3))</f>
        <v/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9">
        <f t="shared" si="19"/>
        <v>0</v>
      </c>
      <c r="S85" s="8" t="str">
        <f>IF(COUNTA(T3,U3,V3,W3,X3,Y3,Z3,AA3,AB3,AC3,AD3,AE3,AF3,AG3,AH3)=0,"",COUNTA(T3,U3,V3,W3,X3,Y3,Z3,AA3,AB3,AC3,AD3,AE3,AF3,AG3,AH3))</f>
        <v/>
      </c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9">
        <f t="shared" si="20"/>
        <v>0</v>
      </c>
      <c r="AJ85" s="9" t="str">
        <f>IF(COUNTA(AK3,AN3,AQ3,AT3,AW3,AZ3,BC3,BF3,BI3,BL3,BO3,BR3,BU3,BX3,CA3,CD3,CG3,CJ3,CM3,CP3)=0,"",COUNTA(AK3,AN3,AQ3,AT3,AW3,AZ3,BC3,BF3,BI3,BL3,BO3,BR3,BU3,BX3,CA3,CD3,CG3,CJ3,CM3,CP3))</f>
        <v/>
      </c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9">
        <f t="shared" si="21"/>
        <v>0</v>
      </c>
      <c r="CT85" s="9">
        <f t="shared" si="22"/>
        <v>0</v>
      </c>
      <c r="CU85" s="9">
        <f t="shared" si="23"/>
        <v>0</v>
      </c>
      <c r="CV85" s="9">
        <f t="shared" si="24"/>
        <v>0</v>
      </c>
      <c r="CW85" s="10"/>
      <c r="CX85" s="10"/>
      <c r="CY85" s="11"/>
      <c r="CZ85" s="12">
        <f t="shared" si="25"/>
        <v>0</v>
      </c>
      <c r="DA85" s="13">
        <f t="shared" si="26"/>
        <v>0</v>
      </c>
      <c r="DB85" s="14" t="str">
        <f t="shared" si="28"/>
        <v xml:space="preserve"> </v>
      </c>
      <c r="DE85" s="15" t="str">
        <f t="shared" si="27"/>
        <v/>
      </c>
    </row>
    <row r="86" spans="1:109" ht="15" customHeight="1" x14ac:dyDescent="0.25">
      <c r="A86" s="7"/>
      <c r="B86" s="8" t="str">
        <f>IF(COUNTA(C3,D3,E3,F3,G3,H3,I3,J3,K3,L3,M3,N3,O3,P3,Q3)=0,"",COUNTA(C3,D3,E3,F3,G3,H3,I3,J3,K3,L3,M3,N3,O3,P3,Q3))</f>
        <v/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9">
        <f t="shared" si="19"/>
        <v>0</v>
      </c>
      <c r="S86" s="8" t="str">
        <f>IF(COUNTA(T3,U3,V3,W3,X3,Y3,Z3,AA3,AB3,AC3,AD3,AE3,AF3,AG3,AH3)=0,"",COUNTA(T3,U3,V3,W3,X3,Y3,Z3,AA3,AB3,AC3,AD3,AE3,AF3,AG3,AH3))</f>
        <v/>
      </c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9">
        <f t="shared" si="20"/>
        <v>0</v>
      </c>
      <c r="AJ86" s="9" t="str">
        <f>IF(COUNTA(AK3,AN3,AQ3,AT3,AW3,AZ3,BC3,BF3,BI3,BL3,BO3,BR3,BU3,BX3,CA3,CD3,CG3,CJ3,CM3,CP3)=0,"",COUNTA(AK3,AN3,AQ3,AT3,AW3,AZ3,BC3,BF3,BI3,BL3,BO3,BR3,BU3,BX3,CA3,CD3,CG3,CJ3,CM3,CP3))</f>
        <v/>
      </c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9">
        <f t="shared" si="21"/>
        <v>0</v>
      </c>
      <c r="CT86" s="9">
        <f t="shared" si="22"/>
        <v>0</v>
      </c>
      <c r="CU86" s="9">
        <f t="shared" si="23"/>
        <v>0</v>
      </c>
      <c r="CV86" s="9">
        <f t="shared" si="24"/>
        <v>0</v>
      </c>
      <c r="CW86" s="10"/>
      <c r="CX86" s="10"/>
      <c r="CY86" s="11"/>
      <c r="CZ86" s="12">
        <f t="shared" si="25"/>
        <v>0</v>
      </c>
      <c r="DA86" s="13">
        <f t="shared" si="26"/>
        <v>0</v>
      </c>
      <c r="DB86" s="14" t="str">
        <f t="shared" si="28"/>
        <v xml:space="preserve"> </v>
      </c>
      <c r="DE86" s="15" t="str">
        <f t="shared" si="27"/>
        <v/>
      </c>
    </row>
    <row r="87" spans="1:109" ht="15" customHeight="1" x14ac:dyDescent="0.25">
      <c r="A87" s="16"/>
      <c r="B87" s="8" t="str">
        <f>IF(COUNTA(C3,D3,E3,F3,G3,H3,I3,J3,K3,L3,M3,N3,O3,P3,Q3)=0,"",COUNTA(C3,D3,E3,F3,G3,H3,I3,J3,K3,L3,M3,N3,O3,P3,Q3))</f>
        <v/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9">
        <f t="shared" si="19"/>
        <v>0</v>
      </c>
      <c r="S87" s="8" t="str">
        <f>IF(COUNTA(T3,U3,V3,W3,X3,Y3,Z3,AA3,AB3,AC3,AD3,AE3,AF3,AG3,AH3)=0,"",COUNTA(T3,U3,V3,W3,X3,Y3,Z3,AA3,AB3,AC3,AD3,AE3,AF3,AG3,AH3))</f>
        <v/>
      </c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9">
        <f t="shared" si="20"/>
        <v>0</v>
      </c>
      <c r="AJ87" s="9" t="str">
        <f>IF(COUNTA(AK3,AN3,AQ3,AT3,AW3,AZ3,BC3,BF3,BI3,BL3,BO3,BR3,BU3,BX3,CA3,CD3,CG3,CJ3,CM3,CP3)=0,"",COUNTA(AK3,AN3,AQ3,AT3,AW3,AZ3,BC3,BF3,BI3,BL3,BO3,BR3,BU3,BX3,CA3,CD3,CG3,CJ3,CM3,CP3))</f>
        <v/>
      </c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9">
        <f t="shared" si="21"/>
        <v>0</v>
      </c>
      <c r="CT87" s="9">
        <f t="shared" si="22"/>
        <v>0</v>
      </c>
      <c r="CU87" s="9">
        <f t="shared" si="23"/>
        <v>0</v>
      </c>
      <c r="CV87" s="9">
        <f t="shared" si="24"/>
        <v>0</v>
      </c>
      <c r="CW87" s="10"/>
      <c r="CX87" s="10"/>
      <c r="CY87" s="11"/>
      <c r="CZ87" s="12">
        <f t="shared" si="25"/>
        <v>0</v>
      </c>
      <c r="DA87" s="13">
        <f t="shared" si="26"/>
        <v>0</v>
      </c>
      <c r="DB87" s="14" t="str">
        <f t="shared" si="28"/>
        <v xml:space="preserve"> </v>
      </c>
      <c r="DE87" s="15" t="str">
        <f t="shared" si="27"/>
        <v/>
      </c>
    </row>
    <row r="88" spans="1:109" ht="15" customHeight="1" x14ac:dyDescent="0.25">
      <c r="A88" s="7"/>
      <c r="B88" s="8" t="str">
        <f>IF(COUNTA(C3,D3,E3,F3,G3,H3,I3,J3,K3,L3,M3,N3,O3,P3,Q3)=0,"",COUNTA(C3,D3,E3,F3,G3,H3,I3,J3,K3,L3,M3,N3,O3,P3,Q3))</f>
        <v/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9">
        <f t="shared" si="19"/>
        <v>0</v>
      </c>
      <c r="S88" s="8" t="str">
        <f>IF(COUNTA(T3,U3,V3,W3,X3,Y3,Z3,AA3,AB3,AC3,AD3,AE3,AF3,AG3,AH3)=0,"",COUNTA(T3,U3,V3,W3,X3,Y3,Z3,AA3,AB3,AC3,AD3,AE3,AF3,AG3,AH3))</f>
        <v/>
      </c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9">
        <f t="shared" si="20"/>
        <v>0</v>
      </c>
      <c r="AJ88" s="9" t="str">
        <f>IF(COUNTA(AK3,AN3,AQ3,AT3,AW3,AZ3,BC3,BF3,BI3,BL3,BO3,BR3,BU3,BX3,CA3,CD3,CG3,CJ3,CM3,CP3)=0,"",COUNTA(AK3,AN3,AQ3,AT3,AW3,AZ3,BC3,BF3,BI3,BL3,BO3,BR3,BU3,BX3,CA3,CD3,CG3,CJ3,CM3,CP3))</f>
        <v/>
      </c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9">
        <f t="shared" si="21"/>
        <v>0</v>
      </c>
      <c r="CT88" s="9">
        <f t="shared" si="22"/>
        <v>0</v>
      </c>
      <c r="CU88" s="9">
        <f t="shared" si="23"/>
        <v>0</v>
      </c>
      <c r="CV88" s="9">
        <f t="shared" si="24"/>
        <v>0</v>
      </c>
      <c r="CW88" s="10"/>
      <c r="CX88" s="10"/>
      <c r="CY88" s="11"/>
      <c r="CZ88" s="12">
        <f t="shared" si="25"/>
        <v>0</v>
      </c>
      <c r="DA88" s="13">
        <f t="shared" si="26"/>
        <v>0</v>
      </c>
      <c r="DB88" s="14" t="str">
        <f t="shared" si="28"/>
        <v xml:space="preserve"> </v>
      </c>
      <c r="DE88" s="15" t="str">
        <f t="shared" si="27"/>
        <v/>
      </c>
    </row>
    <row r="89" spans="1:109" ht="15" customHeight="1" x14ac:dyDescent="0.25">
      <c r="A89" s="16"/>
      <c r="B89" s="8" t="str">
        <f>IF(COUNTA(C3,D3,E3,F3,G3,H3,I3,J3,K3,L3,M3,N3,O3,P3,Q3)=0,"",COUNTA(C3,D3,E3,F3,G3,H3,I3,J3,K3,L3,M3,N3,O3,P3,Q3))</f>
        <v/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9">
        <f t="shared" si="19"/>
        <v>0</v>
      </c>
      <c r="S89" s="8" t="str">
        <f>IF(COUNTA(T3,U3,V3,W3,X3,Y3,Z3,AA3,AB3,AC3,AD3,AE3,AF3,AG3,AH3)=0,"",COUNTA(T3,U3,V3,W3,X3,Y3,Z3,AA3,AB3,AC3,AD3,AE3,AF3,AG3,AH3))</f>
        <v/>
      </c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9">
        <f t="shared" si="20"/>
        <v>0</v>
      </c>
      <c r="AJ89" s="9" t="str">
        <f>IF(COUNTA(AK3,AN3,AQ3,AT3,AW3,AZ3,BC3,BF3,BI3,BL3,BO3,BR3,BU3,BX3,CA3,CD3,CG3,CJ3,CM3,CP3)=0,"",COUNTA(AK3,AN3,AQ3,AT3,AW3,AZ3,BC3,BF3,BI3,BL3,BO3,BR3,BU3,BX3,CA3,CD3,CG3,CJ3,CM3,CP3))</f>
        <v/>
      </c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9">
        <f t="shared" si="21"/>
        <v>0</v>
      </c>
      <c r="CT89" s="9">
        <f t="shared" si="22"/>
        <v>0</v>
      </c>
      <c r="CU89" s="9">
        <f t="shared" si="23"/>
        <v>0</v>
      </c>
      <c r="CV89" s="9">
        <f t="shared" si="24"/>
        <v>0</v>
      </c>
      <c r="CW89" s="10"/>
      <c r="CX89" s="10"/>
      <c r="CY89" s="11"/>
      <c r="CZ89" s="12">
        <f t="shared" si="25"/>
        <v>0</v>
      </c>
      <c r="DA89" s="13">
        <f t="shared" si="26"/>
        <v>0</v>
      </c>
      <c r="DB89" s="14" t="str">
        <f t="shared" si="28"/>
        <v xml:space="preserve"> </v>
      </c>
      <c r="DE89" s="15" t="str">
        <f t="shared" si="27"/>
        <v/>
      </c>
    </row>
    <row r="90" spans="1:109" ht="15" customHeight="1" x14ac:dyDescent="0.25">
      <c r="A90" s="7"/>
      <c r="B90" s="8" t="str">
        <f>IF(COUNTA(C3,D3,E3,F3,G3,H3,I3,J3,K3,L3,M3,N3,O3,P3,Q3)=0,"",COUNTA(C3,D3,E3,F3,G3,H3,I3,J3,K3,L3,M3,N3,O3,P3,Q3))</f>
        <v/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9">
        <f t="shared" si="19"/>
        <v>0</v>
      </c>
      <c r="S90" s="8" t="str">
        <f>IF(COUNTA(T3,U3,V3,W3,X3,Y3,Z3,AA3,AB3,AC3,AD3,AE3,AF3,AG3,AH3)=0,"",COUNTA(T3,U3,V3,W3,X3,Y3,Z3,AA3,AB3,AC3,AD3,AE3,AF3,AG3,AH3))</f>
        <v/>
      </c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9">
        <f t="shared" si="20"/>
        <v>0</v>
      </c>
      <c r="AJ90" s="9" t="str">
        <f>IF(COUNTA(AK3,AN3,AQ3,AT3,AW3,AZ3,BC3,BF3,BI3,BL3,BO3,BR3,BU3,BX3,CA3,CD3,CG3,CJ3,CM3,CP3)=0,"",COUNTA(AK3,AN3,AQ3,AT3,AW3,AZ3,BC3,BF3,BI3,BL3,BO3,BR3,BU3,BX3,CA3,CD3,CG3,CJ3,CM3,CP3))</f>
        <v/>
      </c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9">
        <f t="shared" si="21"/>
        <v>0</v>
      </c>
      <c r="CT90" s="9">
        <f t="shared" si="22"/>
        <v>0</v>
      </c>
      <c r="CU90" s="9">
        <f t="shared" si="23"/>
        <v>0</v>
      </c>
      <c r="CV90" s="9">
        <f t="shared" si="24"/>
        <v>0</v>
      </c>
      <c r="CW90" s="10"/>
      <c r="CX90" s="10"/>
      <c r="CY90" s="11"/>
      <c r="CZ90" s="12">
        <f t="shared" si="25"/>
        <v>0</v>
      </c>
      <c r="DA90" s="13">
        <f t="shared" si="26"/>
        <v>0</v>
      </c>
      <c r="DB90" s="14" t="str">
        <f t="shared" si="28"/>
        <v xml:space="preserve"> </v>
      </c>
      <c r="DE90" s="15" t="str">
        <f t="shared" si="27"/>
        <v/>
      </c>
    </row>
    <row r="91" spans="1:109" ht="15" customHeight="1" x14ac:dyDescent="0.25">
      <c r="A91" s="16"/>
      <c r="B91" s="8" t="str">
        <f>IF(COUNTA(C3,D3,E3,F3,G3,H3,I3,J3,K3,L3,M3,N3,O3,P3,Q3)=0,"",COUNTA(C3,D3,E3,F3,G3,H3,I3,J3,K3,L3,M3,N3,O3,P3,Q3))</f>
        <v/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9">
        <f t="shared" si="19"/>
        <v>0</v>
      </c>
      <c r="S91" s="8" t="str">
        <f>IF(COUNTA(T3,U3,V3,W3,X3,Y3,Z3,AA3,AB3,AC3,AD3,AE3,AF3,AG3,AH3)=0,"",COUNTA(T3,U3,V3,W3,X3,Y3,Z3,AA3,AB3,AC3,AD3,AE3,AF3,AG3,AH3))</f>
        <v/>
      </c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9">
        <f t="shared" si="20"/>
        <v>0</v>
      </c>
      <c r="AJ91" s="9" t="str">
        <f>IF(COUNTA(AK3,AN3,AQ3,AT3,AW3,AZ3,BC3,BF3,BI3,BL3,BO3,BR3,BU3,BX3,CA3,CD3,CG3,CJ3,CM3,CP3)=0,"",COUNTA(AK3,AN3,AQ3,AT3,AW3,AZ3,BC3,BF3,BI3,BL3,BO3,BR3,BU3,BX3,CA3,CD3,CG3,CJ3,CM3,CP3))</f>
        <v/>
      </c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9">
        <f t="shared" si="21"/>
        <v>0</v>
      </c>
      <c r="CT91" s="9">
        <f t="shared" si="22"/>
        <v>0</v>
      </c>
      <c r="CU91" s="9">
        <f t="shared" si="23"/>
        <v>0</v>
      </c>
      <c r="CV91" s="9">
        <f t="shared" si="24"/>
        <v>0</v>
      </c>
      <c r="CW91" s="10"/>
      <c r="CX91" s="10"/>
      <c r="CY91" s="11"/>
      <c r="CZ91" s="12">
        <f t="shared" si="25"/>
        <v>0</v>
      </c>
      <c r="DA91" s="13">
        <f t="shared" si="26"/>
        <v>0</v>
      </c>
      <c r="DB91" s="14" t="str">
        <f t="shared" si="28"/>
        <v xml:space="preserve"> </v>
      </c>
      <c r="DE91" s="15" t="str">
        <f t="shared" si="27"/>
        <v/>
      </c>
    </row>
    <row r="92" spans="1:109" ht="15" customHeight="1" x14ac:dyDescent="0.25">
      <c r="A92" s="7"/>
      <c r="B92" s="8" t="str">
        <f>IF(COUNTA(C3,D3,E3,F3,G3,H3,I3,J3,K3,L3,M3,N3,O3,P3,Q3)=0,"",COUNTA(C3,D3,E3,F3,G3,H3,I3,J3,K3,L3,M3,N3,O3,P3,Q3))</f>
        <v/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9">
        <f t="shared" si="19"/>
        <v>0</v>
      </c>
      <c r="S92" s="8" t="str">
        <f>IF(COUNTA(T3,U3,V3,W3,X3,Y3,Z3,AA3,AB3,AC3,AD3,AE3,AF3,AG3,AH3)=0,"",COUNTA(T3,U3,V3,W3,X3,Y3,Z3,AA3,AB3,AC3,AD3,AE3,AF3,AG3,AH3))</f>
        <v/>
      </c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9">
        <f t="shared" si="20"/>
        <v>0</v>
      </c>
      <c r="AJ92" s="9" t="str">
        <f>IF(COUNTA(AK3,AN3,AQ3,AT3,AW3,AZ3,BC3,BF3,BI3,BL3,BO3,BR3,BU3,BX3,CA3,CD3,CG3,CJ3,CM3,CP3)=0,"",COUNTA(AK3,AN3,AQ3,AT3,AW3,AZ3,BC3,BF3,BI3,BL3,BO3,BR3,BU3,BX3,CA3,CD3,CG3,CJ3,CM3,CP3))</f>
        <v/>
      </c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9">
        <f t="shared" si="21"/>
        <v>0</v>
      </c>
      <c r="CT92" s="9">
        <f t="shared" si="22"/>
        <v>0</v>
      </c>
      <c r="CU92" s="9">
        <f t="shared" si="23"/>
        <v>0</v>
      </c>
      <c r="CV92" s="9">
        <f t="shared" si="24"/>
        <v>0</v>
      </c>
      <c r="CW92" s="10"/>
      <c r="CX92" s="10"/>
      <c r="CY92" s="11"/>
      <c r="CZ92" s="12">
        <f t="shared" si="25"/>
        <v>0</v>
      </c>
      <c r="DA92" s="13">
        <f t="shared" si="26"/>
        <v>0</v>
      </c>
      <c r="DB92" s="14" t="str">
        <f t="shared" si="28"/>
        <v xml:space="preserve"> </v>
      </c>
      <c r="DE92" s="15" t="str">
        <f t="shared" si="27"/>
        <v/>
      </c>
    </row>
    <row r="93" spans="1:109" ht="15" customHeight="1" x14ac:dyDescent="0.25">
      <c r="A93" s="16"/>
      <c r="B93" s="8" t="str">
        <f>IF(COUNTA(C3,D3,E3,F3,G3,H3,I3,J3,K3,L3,M3,N3,O3,P3,Q3)=0,"",COUNTA(C3,D3,E3,F3,G3,H3,I3,J3,K3,L3,M3,N3,O3,P3,Q3))</f>
        <v/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9">
        <f t="shared" si="19"/>
        <v>0</v>
      </c>
      <c r="S93" s="8" t="str">
        <f>IF(COUNTA(T3,U3,V3,W3,X3,Y3,Z3,AA3,AB3,AC3,AD3,AE3,AF3,AG3,AH3)=0,"",COUNTA(T3,U3,V3,W3,X3,Y3,Z3,AA3,AB3,AC3,AD3,AE3,AF3,AG3,AH3))</f>
        <v/>
      </c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9">
        <f t="shared" si="20"/>
        <v>0</v>
      </c>
      <c r="AJ93" s="9" t="str">
        <f>IF(COUNTA(AK3,AN3,AQ3,AT3,AW3,AZ3,BC3,BF3,BI3,BL3,BO3,BR3,BU3,BX3,CA3,CD3,CG3,CJ3,CM3,CP3)=0,"",COUNTA(AK3,AN3,AQ3,AT3,AW3,AZ3,BC3,BF3,BI3,BL3,BO3,BR3,BU3,BX3,CA3,CD3,CG3,CJ3,CM3,CP3))</f>
        <v/>
      </c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9">
        <f t="shared" si="21"/>
        <v>0</v>
      </c>
      <c r="CT93" s="9">
        <f t="shared" si="22"/>
        <v>0</v>
      </c>
      <c r="CU93" s="9">
        <f t="shared" si="23"/>
        <v>0</v>
      </c>
      <c r="CV93" s="9">
        <f t="shared" si="24"/>
        <v>0</v>
      </c>
      <c r="CW93" s="10"/>
      <c r="CX93" s="10"/>
      <c r="CY93" s="11"/>
      <c r="CZ93" s="12">
        <f t="shared" si="25"/>
        <v>0</v>
      </c>
      <c r="DA93" s="13">
        <f t="shared" si="26"/>
        <v>0</v>
      </c>
      <c r="DB93" s="14" t="str">
        <f t="shared" si="28"/>
        <v xml:space="preserve"> </v>
      </c>
      <c r="DE93" s="15" t="str">
        <f t="shared" si="27"/>
        <v/>
      </c>
    </row>
    <row r="94" spans="1:109" ht="15" customHeight="1" x14ac:dyDescent="0.25">
      <c r="A94" s="7"/>
      <c r="B94" s="8" t="str">
        <f>IF(COUNTA(C3,D3,E3,F3,G3,H3,I3,J3,K3,L3,M3,N3,O3,P3,Q3)=0,"",COUNTA(C3,D3,E3,F3,G3,H3,I3,J3,K3,L3,M3,N3,O3,P3,Q3))</f>
        <v/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9">
        <f t="shared" si="19"/>
        <v>0</v>
      </c>
      <c r="S94" s="8" t="str">
        <f>IF(COUNTA(T3,U3,V3,W3,X3,Y3,Z3,AA3,AB3,AC3,AD3,AE3,AF3,AG3,AH3)=0,"",COUNTA(T3,U3,V3,W3,X3,Y3,Z3,AA3,AB3,AC3,AD3,AE3,AF3,AG3,AH3))</f>
        <v/>
      </c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9">
        <f t="shared" si="20"/>
        <v>0</v>
      </c>
      <c r="AJ94" s="9" t="str">
        <f>IF(COUNTA(AK3,AN3,AQ3,AT3,AW3,AZ3,BC3,BF3,BI3,BL3,BO3,BR3,BU3,BX3,CA3,CD3,CG3,CJ3,CM3,CP3)=0,"",COUNTA(AK3,AN3,AQ3,AT3,AW3,AZ3,BC3,BF3,BI3,BL3,BO3,BR3,BU3,BX3,CA3,CD3,CG3,CJ3,CM3,CP3))</f>
        <v/>
      </c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9">
        <f t="shared" si="21"/>
        <v>0</v>
      </c>
      <c r="CT94" s="9">
        <f t="shared" si="22"/>
        <v>0</v>
      </c>
      <c r="CU94" s="9">
        <f t="shared" si="23"/>
        <v>0</v>
      </c>
      <c r="CV94" s="9">
        <f t="shared" si="24"/>
        <v>0</v>
      </c>
      <c r="CW94" s="10"/>
      <c r="CX94" s="10"/>
      <c r="CY94" s="11"/>
      <c r="CZ94" s="12">
        <f t="shared" si="25"/>
        <v>0</v>
      </c>
      <c r="DA94" s="13">
        <f t="shared" si="26"/>
        <v>0</v>
      </c>
      <c r="DB94" s="14" t="str">
        <f t="shared" si="28"/>
        <v xml:space="preserve"> </v>
      </c>
      <c r="DE94" s="15" t="str">
        <f t="shared" si="27"/>
        <v/>
      </c>
    </row>
    <row r="95" spans="1:109" ht="15" customHeight="1" x14ac:dyDescent="0.25">
      <c r="A95" s="16"/>
      <c r="B95" s="8" t="str">
        <f>IF(COUNTA(C3,D3,E3,F3,G3,H3,I3,J3,K3,L3,M3,N3,O3,P3,Q3)=0,"",COUNTA(C3,D3,E3,F3,G3,H3,I3,J3,K3,L3,M3,N3,O3,P3,Q3))</f>
        <v/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9">
        <f t="shared" si="19"/>
        <v>0</v>
      </c>
      <c r="S95" s="8" t="str">
        <f>IF(COUNTA(T3,U3,V3,W3,X3,Y3,Z3,AA3,AB3,AC3,AD3,AE3,AF3,AG3,AH3)=0,"",COUNTA(T3,U3,V3,W3,X3,Y3,Z3,AA3,AB3,AC3,AD3,AE3,AF3,AG3,AH3))</f>
        <v/>
      </c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9">
        <f t="shared" si="20"/>
        <v>0</v>
      </c>
      <c r="AJ95" s="9" t="str">
        <f>IF(COUNTA(AK3,AN3,AQ3,AT3,AW3,AZ3,BC3,BF3,BI3,BL3,BO3,BR3,BU3,BX3,CA3,CD3,CG3,CJ3,CM3,CP3)=0,"",COUNTA(AK3,AN3,AQ3,AT3,AW3,AZ3,BC3,BF3,BI3,BL3,BO3,BR3,BU3,BX3,CA3,CD3,CG3,CJ3,CM3,CP3))</f>
        <v/>
      </c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9">
        <f t="shared" si="21"/>
        <v>0</v>
      </c>
      <c r="CT95" s="9">
        <f t="shared" si="22"/>
        <v>0</v>
      </c>
      <c r="CU95" s="9">
        <f t="shared" si="23"/>
        <v>0</v>
      </c>
      <c r="CV95" s="9">
        <f t="shared" si="24"/>
        <v>0</v>
      </c>
      <c r="CW95" s="10"/>
      <c r="CX95" s="10"/>
      <c r="CY95" s="11"/>
      <c r="CZ95" s="12">
        <f t="shared" si="25"/>
        <v>0</v>
      </c>
      <c r="DA95" s="13">
        <f t="shared" si="26"/>
        <v>0</v>
      </c>
      <c r="DB95" s="14" t="str">
        <f t="shared" si="28"/>
        <v xml:space="preserve"> </v>
      </c>
      <c r="DE95" s="15" t="str">
        <f t="shared" si="27"/>
        <v/>
      </c>
    </row>
    <row r="96" spans="1:109" ht="15" customHeight="1" x14ac:dyDescent="0.25">
      <c r="A96" s="7"/>
      <c r="B96" s="8" t="str">
        <f>IF(COUNTA(C3,D3,E3,F3,G3,H3,I3,J3,K3,L3,M3,N3,O3,P3,Q3)=0,"",COUNTA(C3,D3,E3,F3,G3,H3,I3,J3,K3,L3,M3,N3,O3,P3,Q3))</f>
        <v/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9">
        <f t="shared" si="19"/>
        <v>0</v>
      </c>
      <c r="S96" s="8" t="str">
        <f>IF(COUNTA(T3,U3,V3,W3,X3,Y3,Z3,AA3,AB3,AC3,AD3,AE3,AF3,AG3,AH3)=0,"",COUNTA(T3,U3,V3,W3,X3,Y3,Z3,AA3,AB3,AC3,AD3,AE3,AF3,AG3,AH3))</f>
        <v/>
      </c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9">
        <f t="shared" si="20"/>
        <v>0</v>
      </c>
      <c r="AJ96" s="9" t="str">
        <f>IF(COUNTA(AK3,AN3,AQ3,AT3,AW3,AZ3,BC3,BF3,BI3,BL3,BO3,BR3,BU3,BX3,CA3,CD3,CG3,CJ3,CM3,CP3)=0,"",COUNTA(AK3,AN3,AQ3,AT3,AW3,AZ3,BC3,BF3,BI3,BL3,BO3,BR3,BU3,BX3,CA3,CD3,CG3,CJ3,CM3,CP3))</f>
        <v/>
      </c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9">
        <f t="shared" si="21"/>
        <v>0</v>
      </c>
      <c r="CT96" s="9">
        <f t="shared" si="22"/>
        <v>0</v>
      </c>
      <c r="CU96" s="9">
        <f t="shared" si="23"/>
        <v>0</v>
      </c>
      <c r="CV96" s="9">
        <f t="shared" si="24"/>
        <v>0</v>
      </c>
      <c r="CW96" s="10"/>
      <c r="CX96" s="10"/>
      <c r="CY96" s="11"/>
      <c r="CZ96" s="12">
        <f t="shared" si="25"/>
        <v>0</v>
      </c>
      <c r="DA96" s="13">
        <f t="shared" si="26"/>
        <v>0</v>
      </c>
      <c r="DB96" s="14" t="str">
        <f t="shared" si="28"/>
        <v xml:space="preserve"> </v>
      </c>
      <c r="DE96" s="15" t="str">
        <f t="shared" si="27"/>
        <v/>
      </c>
    </row>
    <row r="97" spans="1:109" ht="15" customHeight="1" x14ac:dyDescent="0.25">
      <c r="A97" s="16"/>
      <c r="B97" s="8" t="str">
        <f>IF(COUNTA(C3,D3,E3,F3,G3,H3,I3,J3,K3,L3,M3,N3,O3,P3,Q3)=0,"",COUNTA(C3,D3,E3,F3,G3,H3,I3,J3,K3,L3,M3,N3,O3,P3,Q3))</f>
        <v/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9">
        <f t="shared" si="19"/>
        <v>0</v>
      </c>
      <c r="S97" s="8" t="str">
        <f>IF(COUNTA(T3,U3,V3,W3,X3,Y3,Z3,AA3,AB3,AC3,AD3,AE3,AF3,AG3,AH3)=0,"",COUNTA(T3,U3,V3,W3,X3,Y3,Z3,AA3,AB3,AC3,AD3,AE3,AF3,AG3,AH3))</f>
        <v/>
      </c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9">
        <f t="shared" si="20"/>
        <v>0</v>
      </c>
      <c r="AJ97" s="9" t="str">
        <f>IF(COUNTA(AK3,AN3,AQ3,AT3,AW3,AZ3,BC3,BF3,BI3,BL3,BO3,BR3,BU3,BX3,CA3,CD3,CG3,CJ3,CM3,CP3)=0,"",COUNTA(AK3,AN3,AQ3,AT3,AW3,AZ3,BC3,BF3,BI3,BL3,BO3,BR3,BU3,BX3,CA3,CD3,CG3,CJ3,CM3,CP3))</f>
        <v/>
      </c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9">
        <f t="shared" si="21"/>
        <v>0</v>
      </c>
      <c r="CT97" s="9">
        <f t="shared" si="22"/>
        <v>0</v>
      </c>
      <c r="CU97" s="9">
        <f t="shared" si="23"/>
        <v>0</v>
      </c>
      <c r="CV97" s="9">
        <f t="shared" si="24"/>
        <v>0</v>
      </c>
      <c r="CW97" s="10"/>
      <c r="CX97" s="10"/>
      <c r="CY97" s="11"/>
      <c r="CZ97" s="12">
        <f t="shared" si="25"/>
        <v>0</v>
      </c>
      <c r="DA97" s="13">
        <f t="shared" si="26"/>
        <v>0</v>
      </c>
      <c r="DB97" s="14" t="str">
        <f t="shared" si="28"/>
        <v xml:space="preserve"> </v>
      </c>
      <c r="DE97" s="15" t="str">
        <f t="shared" si="27"/>
        <v/>
      </c>
    </row>
    <row r="98" spans="1:109" ht="15" customHeight="1" x14ac:dyDescent="0.25">
      <c r="A98" s="7"/>
      <c r="B98" s="8" t="str">
        <f>IF(COUNTA(C3,D3,E3,F3,G3,H3,I3,J3,K3,L3,M3,N3,O3,P3,Q3)=0,"",COUNTA(C3,D3,E3,F3,G3,H3,I3,J3,K3,L3,M3,N3,O3,P3,Q3))</f>
        <v/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9">
        <f t="shared" si="19"/>
        <v>0</v>
      </c>
      <c r="S98" s="8" t="str">
        <f>IF(COUNTA(T3,U3,V3,W3,X3,Y3,Z3,AA3,AB3,AC3,AD3,AE3,AF3,AG3,AH3)=0,"",COUNTA(T3,U3,V3,W3,X3,Y3,Z3,AA3,AB3,AC3,AD3,AE3,AF3,AG3,AH3))</f>
        <v/>
      </c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9">
        <f t="shared" si="20"/>
        <v>0</v>
      </c>
      <c r="AJ98" s="9" t="str">
        <f>IF(COUNTA(AK3,AN3,AQ3,AT3,AW3,AZ3,BC3,BF3,BI3,BL3,BO3,BR3,BU3,BX3,CA3,CD3,CG3,CJ3,CM3,CP3)=0,"",COUNTA(AK3,AN3,AQ3,AT3,AW3,AZ3,BC3,BF3,BI3,BL3,BO3,BR3,BU3,BX3,CA3,CD3,CG3,CJ3,CM3,CP3))</f>
        <v/>
      </c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9">
        <f t="shared" si="21"/>
        <v>0</v>
      </c>
      <c r="CT98" s="9">
        <f t="shared" si="22"/>
        <v>0</v>
      </c>
      <c r="CU98" s="9">
        <f t="shared" si="23"/>
        <v>0</v>
      </c>
      <c r="CV98" s="9">
        <f t="shared" si="24"/>
        <v>0</v>
      </c>
      <c r="CW98" s="10"/>
      <c r="CX98" s="10"/>
      <c r="CY98" s="11"/>
      <c r="CZ98" s="12">
        <f t="shared" si="25"/>
        <v>0</v>
      </c>
      <c r="DA98" s="13">
        <f t="shared" si="26"/>
        <v>0</v>
      </c>
      <c r="DB98" s="14" t="str">
        <f t="shared" si="28"/>
        <v xml:space="preserve"> </v>
      </c>
      <c r="DE98" s="15" t="str">
        <f t="shared" si="27"/>
        <v/>
      </c>
    </row>
    <row r="99" spans="1:109" ht="15" customHeight="1" x14ac:dyDescent="0.25">
      <c r="A99" s="16"/>
      <c r="B99" s="8" t="str">
        <f>IF(COUNTA(C3,D3,E3,F3,G3,H3,I3,J3,K3,L3,M3,N3,O3,P3,Q3)=0,"",COUNTA(C3,D3,E3,F3,G3,H3,I3,J3,K3,L3,M3,N3,O3,P3,Q3))</f>
        <v/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9">
        <f t="shared" si="19"/>
        <v>0</v>
      </c>
      <c r="S99" s="8" t="str">
        <f>IF(COUNTA(T3,U3,V3,W3,X3,Y3,Z3,AA3,AB3,AC3,AD3,AE3,AF3,AG3,AH3)=0,"",COUNTA(T3,U3,V3,W3,X3,Y3,Z3,AA3,AB3,AC3,AD3,AE3,AF3,AG3,AH3))</f>
        <v/>
      </c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9">
        <f t="shared" si="20"/>
        <v>0</v>
      </c>
      <c r="AJ99" s="9" t="str">
        <f>IF(COUNTA(AK3,AN3,AQ3,AT3,AW3,AZ3,BC3,BF3,BI3,BL3,BO3,BR3,BU3,BX3,CA3,CD3,CG3,CJ3,CM3,CP3)=0,"",COUNTA(AK3,AN3,AQ3,AT3,AW3,AZ3,BC3,BF3,BI3,BL3,BO3,BR3,BU3,BX3,CA3,CD3,CG3,CJ3,CM3,CP3))</f>
        <v/>
      </c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9">
        <f t="shared" si="21"/>
        <v>0</v>
      </c>
      <c r="CT99" s="9">
        <f t="shared" si="22"/>
        <v>0</v>
      </c>
      <c r="CU99" s="9">
        <f t="shared" si="23"/>
        <v>0</v>
      </c>
      <c r="CV99" s="9">
        <f t="shared" si="24"/>
        <v>0</v>
      </c>
      <c r="CW99" s="10"/>
      <c r="CX99" s="10"/>
      <c r="CY99" s="11"/>
      <c r="CZ99" s="12">
        <f t="shared" si="25"/>
        <v>0</v>
      </c>
      <c r="DA99" s="13">
        <f t="shared" si="26"/>
        <v>0</v>
      </c>
      <c r="DB99" s="14" t="str">
        <f t="shared" si="28"/>
        <v xml:space="preserve"> </v>
      </c>
      <c r="DE99" s="15" t="str">
        <f t="shared" si="27"/>
        <v/>
      </c>
    </row>
    <row r="100" spans="1:109" ht="15" customHeight="1" x14ac:dyDescent="0.25">
      <c r="A100" s="7"/>
      <c r="B100" s="8" t="str">
        <f>IF(COUNTA(C3,D3,E3,F3,G3,H3,I3,J3,K3,L3,M3,N3,O3,P3,Q3)=0,"",COUNTA(C3,D3,E3,F3,G3,H3,I3,J3,K3,L3,M3,N3,O3,P3,Q3))</f>
        <v/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9">
        <f t="shared" si="19"/>
        <v>0</v>
      </c>
      <c r="S100" s="8" t="str">
        <f>IF(COUNTA(T3,U3,V3,W3,X3,Y3,Z3,AA3,AB3,AC3,AD3,AE3,AF3,AG3,AH3)=0,"",COUNTA(T3,U3,V3,W3,X3,Y3,Z3,AA3,AB3,AC3,AD3,AE3,AF3,AG3,AH3))</f>
        <v/>
      </c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9">
        <f t="shared" si="20"/>
        <v>0</v>
      </c>
      <c r="AJ100" s="9" t="str">
        <f>IF(COUNTA(AK3,AN3,AQ3,AT3,AW3,AZ3,BC3,BF3,BI3,BL3,BO3,BR3,BU3,BX3,CA3,CD3,CG3,CJ3,CM3,CP3)=0,"",COUNTA(AK3,AN3,AQ3,AT3,AW3,AZ3,BC3,BF3,BI3,BL3,BO3,BR3,BU3,BX3,CA3,CD3,CG3,CJ3,CM3,CP3))</f>
        <v/>
      </c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9">
        <f t="shared" si="21"/>
        <v>0</v>
      </c>
      <c r="CT100" s="9">
        <f t="shared" si="22"/>
        <v>0</v>
      </c>
      <c r="CU100" s="9">
        <f t="shared" si="23"/>
        <v>0</v>
      </c>
      <c r="CV100" s="9">
        <f t="shared" si="24"/>
        <v>0</v>
      </c>
      <c r="CW100" s="10"/>
      <c r="CX100" s="10"/>
      <c r="CY100" s="11"/>
      <c r="CZ100" s="12">
        <f t="shared" si="25"/>
        <v>0</v>
      </c>
      <c r="DA100" s="13">
        <f t="shared" si="26"/>
        <v>0</v>
      </c>
      <c r="DB100" s="14" t="str">
        <f t="shared" si="28"/>
        <v xml:space="preserve"> </v>
      </c>
      <c r="DE100" s="15" t="str">
        <f t="shared" si="27"/>
        <v/>
      </c>
    </row>
    <row r="101" spans="1:109" ht="15" customHeight="1" x14ac:dyDescent="0.25">
      <c r="A101" s="16"/>
      <c r="B101" s="8" t="str">
        <f>IF(COUNTA(C3,D3,E3,F3,G3,H3,I3,J3,K3,L3,M3,N3,O3,P3,Q3)=0,"",COUNTA(C3,D3,E3,F3,G3,H3,I3,J3,K3,L3,M3,N3,O3,P3,Q3))</f>
        <v/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9">
        <f t="shared" ref="R101:R121" si="29">IFERROR(SUM(C101,D101,E101,F101,G101,H101,I101,J101,K101,L101,M101,N101,O101,P101,Q101)/B101*30,0)</f>
        <v>0</v>
      </c>
      <c r="S101" s="8" t="str">
        <f>IF(COUNTA(T3,U3,V3,W3,X3,Y3,Z3,AA3,AB3,AC3,AD3,AE3,AF3,AG3,AH3)=0,"",COUNTA(T3,U3,V3,W3,X3,Y3,Z3,AA3,AB3,AC3,AD3,AE3,AF3,AG3,AH3))</f>
        <v/>
      </c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9">
        <f t="shared" ref="AI101:AI121" si="30">IFERROR(SUM(T101,U101,V101,W101,X101,Y101,Z101,AA101,AB101,AC101,AD101,AE101,AF101,AG101,AH101)/S101*30,0)</f>
        <v>0</v>
      </c>
      <c r="AJ101" s="9" t="str">
        <f>IF(COUNTA(AK3,AN3,AQ3,AT3,AW3,AZ3,BC3,BF3,BI3,BL3,BO3,BR3,BU3,BX3,CA3,CD3,CG3,CJ3,CM3,CP3)=0,"",COUNTA(AK3,AN3,AQ3,AT3,AW3,AZ3,BC3,BF3,BI3,BL3,BO3,BR3,BU3,BX3,CA3,CD3,CG3,CJ3,CM3,CP3))</f>
        <v/>
      </c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9">
        <f t="shared" ref="CS101:CS121" si="31">IFERROR(SUM(AK101,AN101,AQ101,AT101,AW101,AZ101,BC101,BF101,BI101,BL101,BO101,BR101,BU101,BX101,CA101,CD101,CG101,CJ101,CM101,CP101)/AJ101*10,0)</f>
        <v>0</v>
      </c>
      <c r="CT101" s="9">
        <f t="shared" ref="CT101:CT121" si="32">IFERROR(SUM(AL101,AO101,AR101,AU101,AX101,BA101,BD101,BG101,BJ101,BM101,BP101,BS101,BV101,BY101,CB101,CE101,CH101,CK101,CN101,CQ101)/AJ101/5*5,0)</f>
        <v>0</v>
      </c>
      <c r="CU101" s="9">
        <f t="shared" ref="CU101:CU121" si="33">IFERROR(SUM(AM101,AP101,AS101,AV101,AY101,BB101,BE101,BH101,BK101,BN101,BQ101,BT101,BW101,BZ101,CC101,CF101,CI101,CL101,CO101,CR101)/AJ101*5,0)</f>
        <v>0</v>
      </c>
      <c r="CV101" s="9">
        <f t="shared" ref="CV101:CV121" si="34">ROUND(SUM(CS101,CT101,CU101),2)</f>
        <v>0</v>
      </c>
      <c r="CW101" s="10"/>
      <c r="CX101" s="10"/>
      <c r="CY101" s="11"/>
      <c r="CZ101" s="12">
        <f t="shared" ref="CZ101:CZ121" si="35">ROUND(SUM(R101,AI101,CV101,CW101,CX101,CY101),2)</f>
        <v>0</v>
      </c>
      <c r="DA101" s="13">
        <f t="shared" ref="DA101:DA121" si="36">ROUND(CZ101/110*100,1)</f>
        <v>0</v>
      </c>
      <c r="DB101" s="14" t="str">
        <f t="shared" si="28"/>
        <v xml:space="preserve"> </v>
      </c>
      <c r="DE101" s="15" t="str">
        <f t="shared" ref="DE101:DE121" si="37">IF(A101="","",DA101-ROW()/100000000)</f>
        <v/>
      </c>
    </row>
    <row r="102" spans="1:109" ht="15" customHeight="1" x14ac:dyDescent="0.25">
      <c r="A102" s="7"/>
      <c r="B102" s="8" t="str">
        <f>IF(COUNTA(C3,D3,E3,F3,G3,H3,I3,J3,K3,L3,M3,N3,O3,P3,Q3)=0,"",COUNTA(C3,D3,E3,F3,G3,H3,I3,J3,K3,L3,M3,N3,O3,P3,Q3))</f>
        <v/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9">
        <f t="shared" si="29"/>
        <v>0</v>
      </c>
      <c r="S102" s="8" t="str">
        <f>IF(COUNTA(T3,U3,V3,W3,X3,Y3,Z3,AA3,AB3,AC3,AD3,AE3,AF3,AG3,AH3)=0,"",COUNTA(T3,U3,V3,W3,X3,Y3,Z3,AA3,AB3,AC3,AD3,AE3,AF3,AG3,AH3))</f>
        <v/>
      </c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9">
        <f t="shared" si="30"/>
        <v>0</v>
      </c>
      <c r="AJ102" s="9" t="str">
        <f>IF(COUNTA(AK3,AN3,AQ3,AT3,AW3,AZ3,BC3,BF3,BI3,BL3,BO3,BR3,BU3,BX3,CA3,CD3,CG3,CJ3,CM3,CP3)=0,"",COUNTA(AK3,AN3,AQ3,AT3,AW3,AZ3,BC3,BF3,BI3,BL3,BO3,BR3,BU3,BX3,CA3,CD3,CG3,CJ3,CM3,CP3))</f>
        <v/>
      </c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9">
        <f t="shared" si="31"/>
        <v>0</v>
      </c>
      <c r="CT102" s="9">
        <f t="shared" si="32"/>
        <v>0</v>
      </c>
      <c r="CU102" s="9">
        <f t="shared" si="33"/>
        <v>0</v>
      </c>
      <c r="CV102" s="9">
        <f t="shared" si="34"/>
        <v>0</v>
      </c>
      <c r="CW102" s="10"/>
      <c r="CX102" s="10"/>
      <c r="CY102" s="11"/>
      <c r="CZ102" s="12">
        <f t="shared" si="35"/>
        <v>0</v>
      </c>
      <c r="DA102" s="13">
        <f t="shared" si="36"/>
        <v>0</v>
      </c>
      <c r="DB102" s="14" t="str">
        <f t="shared" si="28"/>
        <v xml:space="preserve"> </v>
      </c>
      <c r="DE102" s="15" t="str">
        <f t="shared" si="37"/>
        <v/>
      </c>
    </row>
    <row r="103" spans="1:109" ht="15" customHeight="1" x14ac:dyDescent="0.25">
      <c r="A103" s="16"/>
      <c r="B103" s="8" t="str">
        <f>IF(COUNTA(C3,D3,E3,F3,G3,H3,I3,J3,K3,L3,M3,N3,O3,P3,Q3)=0,"",COUNTA(C3,D3,E3,F3,G3,H3,I3,J3,K3,L3,M3,N3,O3,P3,Q3))</f>
        <v/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9">
        <f t="shared" si="29"/>
        <v>0</v>
      </c>
      <c r="S103" s="8" t="str">
        <f>IF(COUNTA(T3,U3,V3,W3,X3,Y3,Z3,AA3,AB3,AC3,AD3,AE3,AF3,AG3,AH3)=0,"",COUNTA(T3,U3,V3,W3,X3,Y3,Z3,AA3,AB3,AC3,AD3,AE3,AF3,AG3,AH3))</f>
        <v/>
      </c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9">
        <f t="shared" si="30"/>
        <v>0</v>
      </c>
      <c r="AJ103" s="9" t="str">
        <f>IF(COUNTA(AK3,AN3,AQ3,AT3,AW3,AZ3,BC3,BF3,BI3,BL3,BO3,BR3,BU3,BX3,CA3,CD3,CG3,CJ3,CM3,CP3)=0,"",COUNTA(AK3,AN3,AQ3,AT3,AW3,AZ3,BC3,BF3,BI3,BL3,BO3,BR3,BU3,BX3,CA3,CD3,CG3,CJ3,CM3,CP3))</f>
        <v/>
      </c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9">
        <f t="shared" si="31"/>
        <v>0</v>
      </c>
      <c r="CT103" s="9">
        <f t="shared" si="32"/>
        <v>0</v>
      </c>
      <c r="CU103" s="9">
        <f t="shared" si="33"/>
        <v>0</v>
      </c>
      <c r="CV103" s="9">
        <f t="shared" si="34"/>
        <v>0</v>
      </c>
      <c r="CW103" s="10"/>
      <c r="CX103" s="10"/>
      <c r="CY103" s="11"/>
      <c r="CZ103" s="12">
        <f t="shared" si="35"/>
        <v>0</v>
      </c>
      <c r="DA103" s="13">
        <f t="shared" si="36"/>
        <v>0</v>
      </c>
      <c r="DB103" s="14" t="str">
        <f t="shared" si="28"/>
        <v xml:space="preserve"> </v>
      </c>
      <c r="DE103" s="15" t="str">
        <f t="shared" si="37"/>
        <v/>
      </c>
    </row>
    <row r="104" spans="1:109" ht="15" customHeight="1" x14ac:dyDescent="0.25">
      <c r="A104" s="7"/>
      <c r="B104" s="8" t="str">
        <f>IF(COUNTA(C3,D3,E3,F3,G3,H3,I3,J3,K3,L3,M3,N3,O3,P3,Q3)=0,"",COUNTA(C3,D3,E3,F3,G3,H3,I3,J3,K3,L3,M3,N3,O3,P3,Q3))</f>
        <v/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9">
        <f t="shared" si="29"/>
        <v>0</v>
      </c>
      <c r="S104" s="8" t="str">
        <f>IF(COUNTA(T3,U3,V3,W3,X3,Y3,Z3,AA3,AB3,AC3,AD3,AE3,AF3,AG3,AH3)=0,"",COUNTA(T3,U3,V3,W3,X3,Y3,Z3,AA3,AB3,AC3,AD3,AE3,AF3,AG3,AH3))</f>
        <v/>
      </c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9">
        <f t="shared" si="30"/>
        <v>0</v>
      </c>
      <c r="AJ104" s="9" t="str">
        <f>IF(COUNTA(AK3,AN3,AQ3,AT3,AW3,AZ3,BC3,BF3,BI3,BL3,BO3,BR3,BU3,BX3,CA3,CD3,CG3,CJ3,CM3,CP3)=0,"",COUNTA(AK3,AN3,AQ3,AT3,AW3,AZ3,BC3,BF3,BI3,BL3,BO3,BR3,BU3,BX3,CA3,CD3,CG3,CJ3,CM3,CP3))</f>
        <v/>
      </c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9">
        <f t="shared" si="31"/>
        <v>0</v>
      </c>
      <c r="CT104" s="9">
        <f t="shared" si="32"/>
        <v>0</v>
      </c>
      <c r="CU104" s="9">
        <f t="shared" si="33"/>
        <v>0</v>
      </c>
      <c r="CV104" s="9">
        <f t="shared" si="34"/>
        <v>0</v>
      </c>
      <c r="CW104" s="10"/>
      <c r="CX104" s="10"/>
      <c r="CY104" s="11"/>
      <c r="CZ104" s="12">
        <f t="shared" si="35"/>
        <v>0</v>
      </c>
      <c r="DA104" s="13">
        <f t="shared" si="36"/>
        <v>0</v>
      </c>
      <c r="DB104" s="14" t="str">
        <f t="shared" si="28"/>
        <v xml:space="preserve"> </v>
      </c>
      <c r="DE104" s="15" t="str">
        <f t="shared" si="37"/>
        <v/>
      </c>
    </row>
    <row r="105" spans="1:109" ht="15" customHeight="1" x14ac:dyDescent="0.25">
      <c r="A105" s="16"/>
      <c r="B105" s="8" t="str">
        <f>IF(COUNTA(C3,D3,E3,F3,G3,H3,I3,J3,K3,L3,M3,N3,O3,P3,Q3)=0,"",COUNTA(C3,D3,E3,F3,G3,H3,I3,J3,K3,L3,M3,N3,O3,P3,Q3))</f>
        <v/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9">
        <f t="shared" si="29"/>
        <v>0</v>
      </c>
      <c r="S105" s="8" t="str">
        <f>IF(COUNTA(T3,U3,V3,W3,X3,Y3,Z3,AA3,AB3,AC3,AD3,AE3,AF3,AG3,AH3)=0,"",COUNTA(T3,U3,V3,W3,X3,Y3,Z3,AA3,AB3,AC3,AD3,AE3,AF3,AG3,AH3))</f>
        <v/>
      </c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9">
        <f t="shared" si="30"/>
        <v>0</v>
      </c>
      <c r="AJ105" s="9" t="str">
        <f>IF(COUNTA(AK3,AN3,AQ3,AT3,AW3,AZ3,BC3,BF3,BI3,BL3,BO3,BR3,BU3,BX3,CA3,CD3,CG3,CJ3,CM3,CP3)=0,"",COUNTA(AK3,AN3,AQ3,AT3,AW3,AZ3,BC3,BF3,BI3,BL3,BO3,BR3,BU3,BX3,CA3,CD3,CG3,CJ3,CM3,CP3))</f>
        <v/>
      </c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9">
        <f t="shared" si="31"/>
        <v>0</v>
      </c>
      <c r="CT105" s="9">
        <f t="shared" si="32"/>
        <v>0</v>
      </c>
      <c r="CU105" s="9">
        <f t="shared" si="33"/>
        <v>0</v>
      </c>
      <c r="CV105" s="9">
        <f t="shared" si="34"/>
        <v>0</v>
      </c>
      <c r="CW105" s="10"/>
      <c r="CX105" s="10"/>
      <c r="CY105" s="11"/>
      <c r="CZ105" s="12">
        <f t="shared" si="35"/>
        <v>0</v>
      </c>
      <c r="DA105" s="13">
        <f t="shared" si="36"/>
        <v>0</v>
      </c>
      <c r="DB105" s="14" t="str">
        <f t="shared" si="28"/>
        <v xml:space="preserve"> </v>
      </c>
      <c r="DE105" s="15" t="str">
        <f t="shared" si="37"/>
        <v/>
      </c>
    </row>
    <row r="106" spans="1:109" ht="15" customHeight="1" x14ac:dyDescent="0.25">
      <c r="A106" s="7"/>
      <c r="B106" s="8" t="str">
        <f>IF(COUNTA(C3,D3,E3,F3,G3,H3,I3,J3,K3,L3,M3,N3,O3,P3,Q3)=0,"",COUNTA(C3,D3,E3,F3,G3,H3,I3,J3,K3,L3,M3,N3,O3,P3,Q3))</f>
        <v/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9">
        <f t="shared" si="29"/>
        <v>0</v>
      </c>
      <c r="S106" s="8" t="str">
        <f>IF(COUNTA(T3,U3,V3,W3,X3,Y3,Z3,AA3,AB3,AC3,AD3,AE3,AF3,AG3,AH3)=0,"",COUNTA(T3,U3,V3,W3,X3,Y3,Z3,AA3,AB3,AC3,AD3,AE3,AF3,AG3,AH3))</f>
        <v/>
      </c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9">
        <f t="shared" si="30"/>
        <v>0</v>
      </c>
      <c r="AJ106" s="9" t="str">
        <f>IF(COUNTA(AK3,AN3,AQ3,AT3,AW3,AZ3,BC3,BF3,BI3,BL3,BO3,BR3,BU3,BX3,CA3,CD3,CG3,CJ3,CM3,CP3)=0,"",COUNTA(AK3,AN3,AQ3,AT3,AW3,AZ3,BC3,BF3,BI3,BL3,BO3,BR3,BU3,BX3,CA3,CD3,CG3,CJ3,CM3,CP3))</f>
        <v/>
      </c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9">
        <f t="shared" si="31"/>
        <v>0</v>
      </c>
      <c r="CT106" s="9">
        <f t="shared" si="32"/>
        <v>0</v>
      </c>
      <c r="CU106" s="9">
        <f t="shared" si="33"/>
        <v>0</v>
      </c>
      <c r="CV106" s="9">
        <f t="shared" si="34"/>
        <v>0</v>
      </c>
      <c r="CW106" s="10"/>
      <c r="CX106" s="10"/>
      <c r="CY106" s="11"/>
      <c r="CZ106" s="12">
        <f t="shared" si="35"/>
        <v>0</v>
      </c>
      <c r="DA106" s="13">
        <f t="shared" si="36"/>
        <v>0</v>
      </c>
      <c r="DB106" s="14" t="str">
        <f t="shared" si="28"/>
        <v xml:space="preserve"> </v>
      </c>
      <c r="DE106" s="15" t="str">
        <f t="shared" si="37"/>
        <v/>
      </c>
    </row>
    <row r="107" spans="1:109" ht="15" customHeight="1" x14ac:dyDescent="0.25">
      <c r="A107" s="16"/>
      <c r="B107" s="8" t="str">
        <f>IF(COUNTA(C3,D3,E3,F3,G3,H3,I3,J3,K3,L3,M3,N3,O3,P3,Q3)=0,"",COUNTA(C3,D3,E3,F3,G3,H3,I3,J3,K3,L3,M3,N3,O3,P3,Q3))</f>
        <v/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9">
        <f t="shared" si="29"/>
        <v>0</v>
      </c>
      <c r="S107" s="8" t="str">
        <f>IF(COUNTA(T3,U3,V3,W3,X3,Y3,Z3,AA3,AB3,AC3,AD3,AE3,AF3,AG3,AH3)=0,"",COUNTA(T3,U3,V3,W3,X3,Y3,Z3,AA3,AB3,AC3,AD3,AE3,AF3,AG3,AH3))</f>
        <v/>
      </c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9">
        <f t="shared" si="30"/>
        <v>0</v>
      </c>
      <c r="AJ107" s="9" t="str">
        <f>IF(COUNTA(AK3,AN3,AQ3,AT3,AW3,AZ3,BC3,BF3,BI3,BL3,BO3,BR3,BU3,BX3,CA3,CD3,CG3,CJ3,CM3,CP3)=0,"",COUNTA(AK3,AN3,AQ3,AT3,AW3,AZ3,BC3,BF3,BI3,BL3,BO3,BR3,BU3,BX3,CA3,CD3,CG3,CJ3,CM3,CP3))</f>
        <v/>
      </c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9">
        <f t="shared" si="31"/>
        <v>0</v>
      </c>
      <c r="CT107" s="9">
        <f t="shared" si="32"/>
        <v>0</v>
      </c>
      <c r="CU107" s="9">
        <f t="shared" si="33"/>
        <v>0</v>
      </c>
      <c r="CV107" s="9">
        <f t="shared" si="34"/>
        <v>0</v>
      </c>
      <c r="CW107" s="10"/>
      <c r="CX107" s="10"/>
      <c r="CY107" s="11"/>
      <c r="CZ107" s="12">
        <f t="shared" si="35"/>
        <v>0</v>
      </c>
      <c r="DA107" s="13">
        <f t="shared" si="36"/>
        <v>0</v>
      </c>
      <c r="DB107" s="14" t="str">
        <f t="shared" si="28"/>
        <v xml:space="preserve"> </v>
      </c>
      <c r="DE107" s="15" t="str">
        <f t="shared" si="37"/>
        <v/>
      </c>
    </row>
    <row r="108" spans="1:109" ht="15" customHeight="1" x14ac:dyDescent="0.25">
      <c r="A108" s="7"/>
      <c r="B108" s="8" t="str">
        <f>IF(COUNTA(C3,D3,E3,F3,G3,H3,I3,J3,K3,L3,M3,N3,O3,P3,Q3)=0,"",COUNTA(C3,D3,E3,F3,G3,H3,I3,J3,K3,L3,M3,N3,O3,P3,Q3))</f>
        <v/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9">
        <f t="shared" si="29"/>
        <v>0</v>
      </c>
      <c r="S108" s="8" t="str">
        <f>IF(COUNTA(T3,U3,V3,W3,X3,Y3,Z3,AA3,AB3,AC3,AD3,AE3,AF3,AG3,AH3)=0,"",COUNTA(T3,U3,V3,W3,X3,Y3,Z3,AA3,AB3,AC3,AD3,AE3,AF3,AG3,AH3))</f>
        <v/>
      </c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9">
        <f t="shared" si="30"/>
        <v>0</v>
      </c>
      <c r="AJ108" s="9" t="str">
        <f>IF(COUNTA(AK3,AN3,AQ3,AT3,AW3,AZ3,BC3,BF3,BI3,BL3,BO3,BR3,BU3,BX3,CA3,CD3,CG3,CJ3,CM3,CP3)=0,"",COUNTA(AK3,AN3,AQ3,AT3,AW3,AZ3,BC3,BF3,BI3,BL3,BO3,BR3,BU3,BX3,CA3,CD3,CG3,CJ3,CM3,CP3))</f>
        <v/>
      </c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9">
        <f t="shared" si="31"/>
        <v>0</v>
      </c>
      <c r="CT108" s="9">
        <f t="shared" si="32"/>
        <v>0</v>
      </c>
      <c r="CU108" s="9">
        <f t="shared" si="33"/>
        <v>0</v>
      </c>
      <c r="CV108" s="9">
        <f t="shared" si="34"/>
        <v>0</v>
      </c>
      <c r="CW108" s="10"/>
      <c r="CX108" s="10"/>
      <c r="CY108" s="11"/>
      <c r="CZ108" s="12">
        <f t="shared" si="35"/>
        <v>0</v>
      </c>
      <c r="DA108" s="13">
        <f t="shared" si="36"/>
        <v>0</v>
      </c>
      <c r="DB108" s="14" t="str">
        <f t="shared" si="28"/>
        <v xml:space="preserve"> </v>
      </c>
      <c r="DE108" s="15" t="str">
        <f t="shared" si="37"/>
        <v/>
      </c>
    </row>
    <row r="109" spans="1:109" ht="15" customHeight="1" x14ac:dyDescent="0.25">
      <c r="A109" s="16"/>
      <c r="B109" s="8" t="str">
        <f>IF(COUNTA(C3,D3,E3,F3,G3,H3,I3,J3,K3,L3,M3,N3,O3,P3,Q3)=0,"",COUNTA(C3,D3,E3,F3,G3,H3,I3,J3,K3,L3,M3,N3,O3,P3,Q3))</f>
        <v/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9">
        <f t="shared" si="29"/>
        <v>0</v>
      </c>
      <c r="S109" s="8" t="str">
        <f>IF(COUNTA(T3,U3,V3,W3,X3,Y3,Z3,AA3,AB3,AC3,AD3,AE3,AF3,AG3,AH3)=0,"",COUNTA(T3,U3,V3,W3,X3,Y3,Z3,AA3,AB3,AC3,AD3,AE3,AF3,AG3,AH3))</f>
        <v/>
      </c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9">
        <f t="shared" si="30"/>
        <v>0</v>
      </c>
      <c r="AJ109" s="9" t="str">
        <f>IF(COUNTA(AK3,AN3,AQ3,AT3,AW3,AZ3,BC3,BF3,BI3,BL3,BO3,BR3,BU3,BX3,CA3,CD3,CG3,CJ3,CM3,CP3)=0,"",COUNTA(AK3,AN3,AQ3,AT3,AW3,AZ3,BC3,BF3,BI3,BL3,BO3,BR3,BU3,BX3,CA3,CD3,CG3,CJ3,CM3,CP3))</f>
        <v/>
      </c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9">
        <f t="shared" si="31"/>
        <v>0</v>
      </c>
      <c r="CT109" s="9">
        <f t="shared" si="32"/>
        <v>0</v>
      </c>
      <c r="CU109" s="9">
        <f t="shared" si="33"/>
        <v>0</v>
      </c>
      <c r="CV109" s="9">
        <f t="shared" si="34"/>
        <v>0</v>
      </c>
      <c r="CW109" s="10"/>
      <c r="CX109" s="10"/>
      <c r="CY109" s="11"/>
      <c r="CZ109" s="12">
        <f t="shared" si="35"/>
        <v>0</v>
      </c>
      <c r="DA109" s="13">
        <f t="shared" si="36"/>
        <v>0</v>
      </c>
      <c r="DB109" s="14" t="str">
        <f t="shared" si="28"/>
        <v xml:space="preserve"> </v>
      </c>
      <c r="DE109" s="15" t="str">
        <f t="shared" si="37"/>
        <v/>
      </c>
    </row>
    <row r="110" spans="1:109" ht="15" customHeight="1" x14ac:dyDescent="0.25">
      <c r="A110" s="7"/>
      <c r="B110" s="8" t="str">
        <f>IF(COUNTA(C3,D3,E3,F3,G3,H3,I3,J3,K3,L3,M3,N3,O3,P3,Q3)=0,"",COUNTA(C3,D3,E3,F3,G3,H3,I3,J3,K3,L3,M3,N3,O3,P3,Q3))</f>
        <v/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9">
        <f t="shared" si="29"/>
        <v>0</v>
      </c>
      <c r="S110" s="8" t="str">
        <f>IF(COUNTA(T3,U3,V3,W3,X3,Y3,Z3,AA3,AB3,AC3,AD3,AE3,AF3,AG3,AH3)=0,"",COUNTA(T3,U3,V3,W3,X3,Y3,Z3,AA3,AB3,AC3,AD3,AE3,AF3,AG3,AH3))</f>
        <v/>
      </c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9">
        <f t="shared" si="30"/>
        <v>0</v>
      </c>
      <c r="AJ110" s="9" t="str">
        <f>IF(COUNTA(AK3,AN3,AQ3,AT3,AW3,AZ3,BC3,BF3,BI3,BL3,BO3,BR3,BU3,BX3,CA3,CD3,CG3,CJ3,CM3,CP3)=0,"",COUNTA(AK3,AN3,AQ3,AT3,AW3,AZ3,BC3,BF3,BI3,BL3,BO3,BR3,BU3,BX3,CA3,CD3,CG3,CJ3,CM3,CP3))</f>
        <v/>
      </c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9">
        <f t="shared" si="31"/>
        <v>0</v>
      </c>
      <c r="CT110" s="9">
        <f t="shared" si="32"/>
        <v>0</v>
      </c>
      <c r="CU110" s="9">
        <f t="shared" si="33"/>
        <v>0</v>
      </c>
      <c r="CV110" s="9">
        <f t="shared" si="34"/>
        <v>0</v>
      </c>
      <c r="CW110" s="10"/>
      <c r="CX110" s="10"/>
      <c r="CY110" s="11"/>
      <c r="CZ110" s="12">
        <f t="shared" si="35"/>
        <v>0</v>
      </c>
      <c r="DA110" s="13">
        <f t="shared" si="36"/>
        <v>0</v>
      </c>
      <c r="DB110" s="14" t="str">
        <f t="shared" si="28"/>
        <v xml:space="preserve"> </v>
      </c>
      <c r="DE110" s="15" t="str">
        <f t="shared" si="37"/>
        <v/>
      </c>
    </row>
    <row r="111" spans="1:109" ht="15" customHeight="1" x14ac:dyDescent="0.25">
      <c r="A111" s="16"/>
      <c r="B111" s="8" t="str">
        <f>IF(COUNTA(C3,D3,E3,F3,G3,H3,I3,J3,K3,L3,M3,N3,O3,P3,Q3)=0,"",COUNTA(C3,D3,E3,F3,G3,H3,I3,J3,K3,L3,M3,N3,O3,P3,Q3))</f>
        <v/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9">
        <f t="shared" si="29"/>
        <v>0</v>
      </c>
      <c r="S111" s="8" t="str">
        <f>IF(COUNTA(T3,U3,V3,W3,X3,Y3,Z3,AA3,AB3,AC3,AD3,AE3,AF3,AG3,AH3)=0,"",COUNTA(T3,U3,V3,W3,X3,Y3,Z3,AA3,AB3,AC3,AD3,AE3,AF3,AG3,AH3))</f>
        <v/>
      </c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9">
        <f t="shared" si="30"/>
        <v>0</v>
      </c>
      <c r="AJ111" s="9" t="str">
        <f>IF(COUNTA(AK3,AN3,AQ3,AT3,AW3,AZ3,BC3,BF3,BI3,BL3,BO3,BR3,BU3,BX3,CA3,CD3,CG3,CJ3,CM3,CP3)=0,"",COUNTA(AK3,AN3,AQ3,AT3,AW3,AZ3,BC3,BF3,BI3,BL3,BO3,BR3,BU3,BX3,CA3,CD3,CG3,CJ3,CM3,CP3))</f>
        <v/>
      </c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9">
        <f t="shared" si="31"/>
        <v>0</v>
      </c>
      <c r="CT111" s="9">
        <f t="shared" si="32"/>
        <v>0</v>
      </c>
      <c r="CU111" s="9">
        <f t="shared" si="33"/>
        <v>0</v>
      </c>
      <c r="CV111" s="9">
        <f t="shared" si="34"/>
        <v>0</v>
      </c>
      <c r="CW111" s="10"/>
      <c r="CX111" s="10"/>
      <c r="CY111" s="11"/>
      <c r="CZ111" s="12">
        <f t="shared" si="35"/>
        <v>0</v>
      </c>
      <c r="DA111" s="13">
        <f t="shared" si="36"/>
        <v>0</v>
      </c>
      <c r="DB111" s="14" t="str">
        <f t="shared" si="28"/>
        <v xml:space="preserve"> </v>
      </c>
      <c r="DE111" s="15" t="str">
        <f t="shared" si="37"/>
        <v/>
      </c>
    </row>
    <row r="112" spans="1:109" ht="15" customHeight="1" x14ac:dyDescent="0.25">
      <c r="A112" s="7"/>
      <c r="B112" s="8" t="str">
        <f>IF(COUNTA(C3,D3,E3,F3,G3,H3,I3,J3,K3,L3,M3,N3,O3,P3,Q3)=0,"",COUNTA(C3,D3,E3,F3,G3,H3,I3,J3,K3,L3,M3,N3,O3,P3,Q3))</f>
        <v/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9">
        <f t="shared" si="29"/>
        <v>0</v>
      </c>
      <c r="S112" s="8" t="str">
        <f>IF(COUNTA(T3,U3,V3,W3,X3,Y3,Z3,AA3,AB3,AC3,AD3,AE3,AF3,AG3,AH3)=0,"",COUNTA(T3,U3,V3,W3,X3,Y3,Z3,AA3,AB3,AC3,AD3,AE3,AF3,AG3,AH3))</f>
        <v/>
      </c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9">
        <f t="shared" si="30"/>
        <v>0</v>
      </c>
      <c r="AJ112" s="9" t="str">
        <f>IF(COUNTA(AK3,AN3,AQ3,AT3,AW3,AZ3,BC3,BF3,BI3,BL3,BO3,BR3,BU3,BX3,CA3,CD3,CG3,CJ3,CM3,CP3)=0,"",COUNTA(AK3,AN3,AQ3,AT3,AW3,AZ3,BC3,BF3,BI3,BL3,BO3,BR3,BU3,BX3,CA3,CD3,CG3,CJ3,CM3,CP3))</f>
        <v/>
      </c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9">
        <f t="shared" si="31"/>
        <v>0</v>
      </c>
      <c r="CT112" s="9">
        <f t="shared" si="32"/>
        <v>0</v>
      </c>
      <c r="CU112" s="9">
        <f t="shared" si="33"/>
        <v>0</v>
      </c>
      <c r="CV112" s="9">
        <f t="shared" si="34"/>
        <v>0</v>
      </c>
      <c r="CW112" s="10"/>
      <c r="CX112" s="10"/>
      <c r="CY112" s="11"/>
      <c r="CZ112" s="12">
        <f t="shared" si="35"/>
        <v>0</v>
      </c>
      <c r="DA112" s="13">
        <f t="shared" si="36"/>
        <v>0</v>
      </c>
      <c r="DB112" s="14" t="str">
        <f t="shared" si="28"/>
        <v xml:space="preserve"> </v>
      </c>
      <c r="DE112" s="15" t="str">
        <f t="shared" si="37"/>
        <v/>
      </c>
    </row>
    <row r="113" spans="1:109" ht="15" customHeight="1" x14ac:dyDescent="0.25">
      <c r="A113" s="16"/>
      <c r="B113" s="8" t="str">
        <f>IF(COUNTA(C3,D3,E3,F3,G3,H3,I3,J3,K3,L3,M3,N3,O3,P3,Q3)=0,"",COUNTA(C3,D3,E3,F3,G3,H3,I3,J3,K3,L3,M3,N3,O3,P3,Q3))</f>
        <v/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9">
        <f t="shared" si="29"/>
        <v>0</v>
      </c>
      <c r="S113" s="8" t="str">
        <f>IF(COUNTA(T3,U3,V3,W3,X3,Y3,Z3,AA3,AB3,AC3,AD3,AE3,AF3,AG3,AH3)=0,"",COUNTA(T3,U3,V3,W3,X3,Y3,Z3,AA3,AB3,AC3,AD3,AE3,AF3,AG3,AH3))</f>
        <v/>
      </c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9">
        <f t="shared" si="30"/>
        <v>0</v>
      </c>
      <c r="AJ113" s="9" t="str">
        <f>IF(COUNTA(AK3,AN3,AQ3,AT3,AW3,AZ3,BC3,BF3,BI3,BL3,BO3,BR3,BU3,BX3,CA3,CD3,CG3,CJ3,CM3,CP3)=0,"",COUNTA(AK3,AN3,AQ3,AT3,AW3,AZ3,BC3,BF3,BI3,BL3,BO3,BR3,BU3,BX3,CA3,CD3,CG3,CJ3,CM3,CP3))</f>
        <v/>
      </c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9">
        <f t="shared" si="31"/>
        <v>0</v>
      </c>
      <c r="CT113" s="9">
        <f t="shared" si="32"/>
        <v>0</v>
      </c>
      <c r="CU113" s="9">
        <f t="shared" si="33"/>
        <v>0</v>
      </c>
      <c r="CV113" s="9">
        <f t="shared" si="34"/>
        <v>0</v>
      </c>
      <c r="CW113" s="10"/>
      <c r="CX113" s="10"/>
      <c r="CY113" s="11"/>
      <c r="CZ113" s="12">
        <f t="shared" si="35"/>
        <v>0</v>
      </c>
      <c r="DA113" s="13">
        <f t="shared" si="36"/>
        <v>0</v>
      </c>
      <c r="DB113" s="14" t="str">
        <f t="shared" si="28"/>
        <v xml:space="preserve"> </v>
      </c>
      <c r="DE113" s="15" t="str">
        <f t="shared" si="37"/>
        <v/>
      </c>
    </row>
    <row r="114" spans="1:109" ht="15" customHeight="1" x14ac:dyDescent="0.25">
      <c r="A114" s="7"/>
      <c r="B114" s="8" t="str">
        <f>IF(COUNTA(C3,D3,E3,F3,G3,H3,I3,J3,K3,L3,M3,N3,O3,P3,Q3)=0,"",COUNTA(C3,D3,E3,F3,G3,H3,I3,J3,K3,L3,M3,N3,O3,P3,Q3))</f>
        <v/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9">
        <f t="shared" si="29"/>
        <v>0</v>
      </c>
      <c r="S114" s="8" t="str">
        <f>IF(COUNTA(T3,U3,V3,W3,X3,Y3,Z3,AA3,AB3,AC3,AD3,AE3,AF3,AG3,AH3)=0,"",COUNTA(T3,U3,V3,W3,X3,Y3,Z3,AA3,AB3,AC3,AD3,AE3,AF3,AG3,AH3))</f>
        <v/>
      </c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9">
        <f t="shared" si="30"/>
        <v>0</v>
      </c>
      <c r="AJ114" s="9" t="str">
        <f>IF(COUNTA(AK3,AN3,AQ3,AT3,AW3,AZ3,BC3,BF3,BI3,BL3,BO3,BR3,BU3,BX3,CA3,CD3,CG3,CJ3,CM3,CP3)=0,"",COUNTA(AK3,AN3,AQ3,AT3,AW3,AZ3,BC3,BF3,BI3,BL3,BO3,BR3,BU3,BX3,CA3,CD3,CG3,CJ3,CM3,CP3))</f>
        <v/>
      </c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9">
        <f t="shared" si="31"/>
        <v>0</v>
      </c>
      <c r="CT114" s="9">
        <f t="shared" si="32"/>
        <v>0</v>
      </c>
      <c r="CU114" s="9">
        <f t="shared" si="33"/>
        <v>0</v>
      </c>
      <c r="CV114" s="9">
        <f t="shared" si="34"/>
        <v>0</v>
      </c>
      <c r="CW114" s="10"/>
      <c r="CX114" s="10"/>
      <c r="CY114" s="11"/>
      <c r="CZ114" s="12">
        <f t="shared" si="35"/>
        <v>0</v>
      </c>
      <c r="DA114" s="13">
        <f t="shared" si="36"/>
        <v>0</v>
      </c>
      <c r="DB114" s="14" t="str">
        <f t="shared" si="28"/>
        <v xml:space="preserve"> </v>
      </c>
      <c r="DE114" s="15" t="str">
        <f t="shared" si="37"/>
        <v/>
      </c>
    </row>
    <row r="115" spans="1:109" ht="15" customHeight="1" x14ac:dyDescent="0.25">
      <c r="A115" s="16"/>
      <c r="B115" s="8" t="str">
        <f>IF(COUNTA(C3,D3,E3,F3,G3,H3,I3,J3,K3,L3,M3,N3,O3,P3,Q3)=0,"",COUNTA(C3,D3,E3,F3,G3,H3,I3,J3,K3,L3,M3,N3,O3,P3,Q3))</f>
        <v/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9">
        <f t="shared" si="29"/>
        <v>0</v>
      </c>
      <c r="S115" s="8" t="str">
        <f>IF(COUNTA(T3,U3,V3,W3,X3,Y3,Z3,AA3,AB3,AC3,AD3,AE3,AF3,AG3,AH3)=0,"",COUNTA(T3,U3,V3,W3,X3,Y3,Z3,AA3,AB3,AC3,AD3,AE3,AF3,AG3,AH3))</f>
        <v/>
      </c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9">
        <f t="shared" si="30"/>
        <v>0</v>
      </c>
      <c r="AJ115" s="9" t="str">
        <f>IF(COUNTA(AK3,AN3,AQ3,AT3,AW3,AZ3,BC3,BF3,BI3,BL3,BO3,BR3,BU3,BX3,CA3,CD3,CG3,CJ3,CM3,CP3)=0,"",COUNTA(AK3,AN3,AQ3,AT3,AW3,AZ3,BC3,BF3,BI3,BL3,BO3,BR3,BU3,BX3,CA3,CD3,CG3,CJ3,CM3,CP3))</f>
        <v/>
      </c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9">
        <f t="shared" si="31"/>
        <v>0</v>
      </c>
      <c r="CT115" s="9">
        <f t="shared" si="32"/>
        <v>0</v>
      </c>
      <c r="CU115" s="9">
        <f t="shared" si="33"/>
        <v>0</v>
      </c>
      <c r="CV115" s="9">
        <f t="shared" si="34"/>
        <v>0</v>
      </c>
      <c r="CW115" s="10"/>
      <c r="CX115" s="10"/>
      <c r="CY115" s="11"/>
      <c r="CZ115" s="12">
        <f t="shared" si="35"/>
        <v>0</v>
      </c>
      <c r="DA115" s="13">
        <f t="shared" si="36"/>
        <v>0</v>
      </c>
      <c r="DB115" s="14" t="str">
        <f t="shared" si="28"/>
        <v xml:space="preserve"> </v>
      </c>
      <c r="DE115" s="15" t="str">
        <f t="shared" si="37"/>
        <v/>
      </c>
    </row>
    <row r="116" spans="1:109" ht="15" customHeight="1" x14ac:dyDescent="0.25">
      <c r="A116" s="7"/>
      <c r="B116" s="8" t="str">
        <f>IF(COUNTA(C3,D3,E3,F3,G3,H3,I3,J3,K3,L3,M3,N3,O3,P3,Q3)=0,"",COUNTA(C3,D3,E3,F3,G3,H3,I3,J3,K3,L3,M3,N3,O3,P3,Q3))</f>
        <v/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9">
        <f t="shared" si="29"/>
        <v>0</v>
      </c>
      <c r="S116" s="8" t="str">
        <f>IF(COUNTA(T3,U3,V3,W3,X3,Y3,Z3,AA3,AB3,AC3,AD3,AE3,AF3,AG3,AH3)=0,"",COUNTA(T3,U3,V3,W3,X3,Y3,Z3,AA3,AB3,AC3,AD3,AE3,AF3,AG3,AH3))</f>
        <v/>
      </c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9">
        <f t="shared" si="30"/>
        <v>0</v>
      </c>
      <c r="AJ116" s="9" t="str">
        <f>IF(COUNTA(AK3,AN3,AQ3,AT3,AW3,AZ3,BC3,BF3,BI3,BL3,BO3,BR3,BU3,BX3,CA3,CD3,CG3,CJ3,CM3,CP3)=0,"",COUNTA(AK3,AN3,AQ3,AT3,AW3,AZ3,BC3,BF3,BI3,BL3,BO3,BR3,BU3,BX3,CA3,CD3,CG3,CJ3,CM3,CP3))</f>
        <v/>
      </c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9">
        <f t="shared" si="31"/>
        <v>0</v>
      </c>
      <c r="CT116" s="9">
        <f t="shared" si="32"/>
        <v>0</v>
      </c>
      <c r="CU116" s="9">
        <f t="shared" si="33"/>
        <v>0</v>
      </c>
      <c r="CV116" s="9">
        <f t="shared" si="34"/>
        <v>0</v>
      </c>
      <c r="CW116" s="10"/>
      <c r="CX116" s="10"/>
      <c r="CY116" s="11"/>
      <c r="CZ116" s="12">
        <f t="shared" si="35"/>
        <v>0</v>
      </c>
      <c r="DA116" s="13">
        <f t="shared" si="36"/>
        <v>0</v>
      </c>
      <c r="DB116" s="14" t="str">
        <f t="shared" si="28"/>
        <v xml:space="preserve"> </v>
      </c>
      <c r="DE116" s="15" t="str">
        <f t="shared" si="37"/>
        <v/>
      </c>
    </row>
    <row r="117" spans="1:109" ht="15" customHeight="1" x14ac:dyDescent="0.25">
      <c r="A117" s="16"/>
      <c r="B117" s="8" t="str">
        <f>IF(COUNTA(C3,D3,E3,F3,G3,H3,I3,J3,K3,L3,M3,N3,O3,P3,Q3)=0,"",COUNTA(C3,D3,E3,F3,G3,H3,I3,J3,K3,L3,M3,N3,O3,P3,Q3))</f>
        <v/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9">
        <f t="shared" si="29"/>
        <v>0</v>
      </c>
      <c r="S117" s="8" t="str">
        <f>IF(COUNTA(T3,U3,V3,W3,X3,Y3,Z3,AA3,AB3,AC3,AD3,AE3,AF3,AG3,AH3)=0,"",COUNTA(T3,U3,V3,W3,X3,Y3,Z3,AA3,AB3,AC3,AD3,AE3,AF3,AG3,AH3))</f>
        <v/>
      </c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9">
        <f t="shared" si="30"/>
        <v>0</v>
      </c>
      <c r="AJ117" s="9" t="str">
        <f>IF(COUNTA(AK3,AN3,AQ3,AT3,AW3,AZ3,BC3,BF3,BI3,BL3,BO3,BR3,BU3,BX3,CA3,CD3,CG3,CJ3,CM3,CP3)=0,"",COUNTA(AK3,AN3,AQ3,AT3,AW3,AZ3,BC3,BF3,BI3,BL3,BO3,BR3,BU3,BX3,CA3,CD3,CG3,CJ3,CM3,CP3))</f>
        <v/>
      </c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9">
        <f t="shared" si="31"/>
        <v>0</v>
      </c>
      <c r="CT117" s="9">
        <f t="shared" si="32"/>
        <v>0</v>
      </c>
      <c r="CU117" s="9">
        <f t="shared" si="33"/>
        <v>0</v>
      </c>
      <c r="CV117" s="9">
        <f t="shared" si="34"/>
        <v>0</v>
      </c>
      <c r="CW117" s="10"/>
      <c r="CX117" s="10"/>
      <c r="CY117" s="11"/>
      <c r="CZ117" s="12">
        <f t="shared" si="35"/>
        <v>0</v>
      </c>
      <c r="DA117" s="13">
        <f t="shared" si="36"/>
        <v>0</v>
      </c>
      <c r="DB117" s="14" t="str">
        <f t="shared" si="28"/>
        <v xml:space="preserve"> </v>
      </c>
      <c r="DE117" s="15" t="str">
        <f t="shared" si="37"/>
        <v/>
      </c>
    </row>
    <row r="118" spans="1:109" ht="15" customHeight="1" x14ac:dyDescent="0.25">
      <c r="A118" s="7"/>
      <c r="B118" s="8" t="str">
        <f>IF(COUNTA(C3,D3,E3,F3,G3,H3,I3,J3,K3,L3,M3,N3,O3,P3,Q3)=0,"",COUNTA(C3,D3,E3,F3,G3,H3,I3,J3,K3,L3,M3,N3,O3,P3,Q3))</f>
        <v/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9">
        <f t="shared" si="29"/>
        <v>0</v>
      </c>
      <c r="S118" s="8" t="str">
        <f>IF(COUNTA(T3,U3,V3,W3,X3,Y3,Z3,AA3,AB3,AC3,AD3,AE3,AF3,AG3,AH3)=0,"",COUNTA(T3,U3,V3,W3,X3,Y3,Z3,AA3,AB3,AC3,AD3,AE3,AF3,AG3,AH3))</f>
        <v/>
      </c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9">
        <f t="shared" si="30"/>
        <v>0</v>
      </c>
      <c r="AJ118" s="9" t="str">
        <f>IF(COUNTA(AK3,AN3,AQ3,AT3,AW3,AZ3,BC3,BF3,BI3,BL3,BO3,BR3,BU3,BX3,CA3,CD3,CG3,CJ3,CM3,CP3)=0,"",COUNTA(AK3,AN3,AQ3,AT3,AW3,AZ3,BC3,BF3,BI3,BL3,BO3,BR3,BU3,BX3,CA3,CD3,CG3,CJ3,CM3,CP3))</f>
        <v/>
      </c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9">
        <f t="shared" si="31"/>
        <v>0</v>
      </c>
      <c r="CT118" s="9">
        <f t="shared" si="32"/>
        <v>0</v>
      </c>
      <c r="CU118" s="9">
        <f t="shared" si="33"/>
        <v>0</v>
      </c>
      <c r="CV118" s="9">
        <f t="shared" si="34"/>
        <v>0</v>
      </c>
      <c r="CW118" s="10"/>
      <c r="CX118" s="10"/>
      <c r="CY118" s="11"/>
      <c r="CZ118" s="12">
        <f t="shared" si="35"/>
        <v>0</v>
      </c>
      <c r="DA118" s="13">
        <f t="shared" si="36"/>
        <v>0</v>
      </c>
      <c r="DB118" s="14" t="str">
        <f t="shared" si="28"/>
        <v xml:space="preserve"> </v>
      </c>
      <c r="DE118" s="15" t="str">
        <f t="shared" si="37"/>
        <v/>
      </c>
    </row>
    <row r="119" spans="1:109" ht="15" customHeight="1" x14ac:dyDescent="0.25">
      <c r="A119" s="16"/>
      <c r="B119" s="8" t="str">
        <f>IF(COUNTA(C3,D3,E3,F3,G3,H3,I3,J3,K3,L3,M3,N3,O3,P3,Q3)=0,"",COUNTA(C3,D3,E3,F3,G3,H3,I3,J3,K3,L3,M3,N3,O3,P3,Q3))</f>
        <v/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9">
        <f t="shared" si="29"/>
        <v>0</v>
      </c>
      <c r="S119" s="8" t="str">
        <f>IF(COUNTA(T3,U3,V3,W3,X3,Y3,Z3,AA3,AB3,AC3,AD3,AE3,AF3,AG3,AH3)=0,"",COUNTA(T3,U3,V3,W3,X3,Y3,Z3,AA3,AB3,AC3,AD3,AE3,AF3,AG3,AH3))</f>
        <v/>
      </c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9">
        <f t="shared" si="30"/>
        <v>0</v>
      </c>
      <c r="AJ119" s="9" t="str">
        <f>IF(COUNTA(AK3,AN3,AQ3,AT3,AW3,AZ3,BC3,BF3,BI3,BL3,BO3,BR3,BU3,BX3,CA3,CD3,CG3,CJ3,CM3,CP3)=0,"",COUNTA(AK3,AN3,AQ3,AT3,AW3,AZ3,BC3,BF3,BI3,BL3,BO3,BR3,BU3,BX3,CA3,CD3,CG3,CJ3,CM3,CP3))</f>
        <v/>
      </c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9">
        <f t="shared" si="31"/>
        <v>0</v>
      </c>
      <c r="CT119" s="9">
        <f t="shared" si="32"/>
        <v>0</v>
      </c>
      <c r="CU119" s="9">
        <f t="shared" si="33"/>
        <v>0</v>
      </c>
      <c r="CV119" s="9">
        <f t="shared" si="34"/>
        <v>0</v>
      </c>
      <c r="CW119" s="10"/>
      <c r="CX119" s="10"/>
      <c r="CY119" s="11"/>
      <c r="CZ119" s="12">
        <f t="shared" si="35"/>
        <v>0</v>
      </c>
      <c r="DA119" s="13">
        <f t="shared" si="36"/>
        <v>0</v>
      </c>
      <c r="DB119" s="14" t="str">
        <f t="shared" si="28"/>
        <v xml:space="preserve"> </v>
      </c>
      <c r="DE119" s="15" t="str">
        <f t="shared" si="37"/>
        <v/>
      </c>
    </row>
    <row r="120" spans="1:109" ht="15" customHeight="1" x14ac:dyDescent="0.25">
      <c r="A120" s="7"/>
      <c r="B120" s="8" t="str">
        <f>IF(COUNTA(C3,D3,E3,F3,G3,H3,I3,J3,K3,L3,M3,N3,O3,P3,Q3)=0,"",COUNTA(C3,D3,E3,F3,G3,H3,I3,J3,K3,L3,M3,N3,O3,P3,Q3))</f>
        <v/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9">
        <f t="shared" si="29"/>
        <v>0</v>
      </c>
      <c r="S120" s="8" t="str">
        <f>IF(COUNTA(T3,U3,V3,W3,X3,Y3,Z3,AA3,AB3,AC3,AD3,AE3,AF3,AG3,AH3)=0,"",COUNTA(T3,U3,V3,W3,X3,Y3,Z3,AA3,AB3,AC3,AD3,AE3,AF3,AG3,AH3))</f>
        <v/>
      </c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9">
        <f t="shared" si="30"/>
        <v>0</v>
      </c>
      <c r="AJ120" s="9" t="str">
        <f>IF(COUNTA(AK3,AN3,AQ3,AT3,AW3,AZ3,BC3,BF3,BI3,BL3,BO3,BR3,BU3,BX3,CA3,CD3,CG3,CJ3,CM3,CP3)=0,"",COUNTA(AK3,AN3,AQ3,AT3,AW3,AZ3,BC3,BF3,BI3,BL3,BO3,BR3,BU3,BX3,CA3,CD3,CG3,CJ3,CM3,CP3))</f>
        <v/>
      </c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9">
        <f t="shared" si="31"/>
        <v>0</v>
      </c>
      <c r="CT120" s="9">
        <f t="shared" si="32"/>
        <v>0</v>
      </c>
      <c r="CU120" s="9">
        <f t="shared" si="33"/>
        <v>0</v>
      </c>
      <c r="CV120" s="9">
        <f t="shared" si="34"/>
        <v>0</v>
      </c>
      <c r="CW120" s="10"/>
      <c r="CX120" s="10"/>
      <c r="CY120" s="11"/>
      <c r="CZ120" s="12">
        <f t="shared" si="35"/>
        <v>0</v>
      </c>
      <c r="DA120" s="13">
        <f t="shared" si="36"/>
        <v>0</v>
      </c>
      <c r="DB120" s="14" t="str">
        <f t="shared" si="28"/>
        <v xml:space="preserve"> </v>
      </c>
      <c r="DE120" s="15" t="str">
        <f t="shared" si="37"/>
        <v/>
      </c>
    </row>
    <row r="121" spans="1:109" ht="15" customHeight="1" x14ac:dyDescent="0.25">
      <c r="A121" s="16"/>
      <c r="B121" s="8" t="str">
        <f>IF(COUNTA(C3,D3,E3,F3,G3,H3,I3,J3,K3,L3,M3,N3,O3,P3,Q3)=0,"",COUNTA(C3,D3,E3,F3,G3,H3,I3,J3,K3,L3,M3,N3,O3,P3,Q3))</f>
        <v/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9">
        <f t="shared" si="29"/>
        <v>0</v>
      </c>
      <c r="S121" s="8" t="str">
        <f>IF(COUNTA(T3,U3,V3,W3,X3,Y3,Z3,AA3,AB3,AC3,AD3,AE3,AF3,AG3,AH3)=0,"",COUNTA(T3,U3,V3,W3,X3,Y3,Z3,AA3,AB3,AC3,AD3,AE3,AF3,AG3,AH3))</f>
        <v/>
      </c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9">
        <f t="shared" si="30"/>
        <v>0</v>
      </c>
      <c r="AJ121" s="9" t="str">
        <f>IF(COUNTA(AK3,AN3,AQ3,AT3,AW3,AZ3,BC3,BF3,BI3,BL3,BO3,BR3,BU3,BX3,CA3,CD3,CG3,CJ3,CM3,CP3)=0,"",COUNTA(AK3,AN3,AQ3,AT3,AW3,AZ3,BC3,BF3,BI3,BL3,BO3,BR3,BU3,BX3,CA3,CD3,CG3,CJ3,CM3,CP3))</f>
        <v/>
      </c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9">
        <f t="shared" si="31"/>
        <v>0</v>
      </c>
      <c r="CT121" s="9">
        <f t="shared" si="32"/>
        <v>0</v>
      </c>
      <c r="CU121" s="9">
        <f t="shared" si="33"/>
        <v>0</v>
      </c>
      <c r="CV121" s="9">
        <f t="shared" si="34"/>
        <v>0</v>
      </c>
      <c r="CW121" s="10"/>
      <c r="CX121" s="10"/>
      <c r="CY121" s="11"/>
      <c r="CZ121" s="12">
        <f t="shared" si="35"/>
        <v>0</v>
      </c>
      <c r="DA121" s="13">
        <f t="shared" si="36"/>
        <v>0</v>
      </c>
      <c r="DB121" s="14" t="str">
        <f t="shared" si="28"/>
        <v xml:space="preserve"> </v>
      </c>
      <c r="DE121" s="15" t="str">
        <f t="shared" si="37"/>
        <v/>
      </c>
    </row>
    <row r="122" spans="1:109" ht="15" customHeight="1" x14ac:dyDescent="0.25"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</row>
    <row r="123" spans="1:109" ht="15" customHeight="1" x14ac:dyDescent="0.25"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</row>
    <row r="124" spans="1:109" ht="15" customHeight="1" x14ac:dyDescent="0.25"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</row>
    <row r="125" spans="1:109" ht="15" customHeight="1" x14ac:dyDescent="0.25"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</row>
    <row r="126" spans="1:109" ht="15" customHeight="1" x14ac:dyDescent="0.25"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</row>
    <row r="127" spans="1:109" ht="15" customHeight="1" x14ac:dyDescent="0.25"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9" ht="15" customHeight="1" x14ac:dyDescent="0.25"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</row>
    <row r="129" spans="36:100" ht="15" customHeight="1" x14ac:dyDescent="0.25"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</row>
    <row r="130" spans="36:100" ht="15" customHeight="1" x14ac:dyDescent="0.25"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36:100" ht="15" customHeight="1" x14ac:dyDescent="0.25"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</row>
    <row r="132" spans="36:100" ht="15" customHeight="1" x14ac:dyDescent="0.25"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</row>
    <row r="133" spans="36:100" ht="15" customHeight="1" x14ac:dyDescent="0.25"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</row>
    <row r="134" spans="36:100" ht="15" customHeight="1" x14ac:dyDescent="0.25"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</row>
    <row r="135" spans="36:100" ht="15" customHeight="1" x14ac:dyDescent="0.25"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</row>
    <row r="136" spans="36:100" ht="15" customHeight="1" x14ac:dyDescent="0.25"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</row>
    <row r="137" spans="36:100" ht="15" customHeight="1" x14ac:dyDescent="0.25"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</row>
    <row r="138" spans="36:100" ht="15" customHeight="1" x14ac:dyDescent="0.25"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</row>
    <row r="139" spans="36:100" ht="15" customHeight="1" x14ac:dyDescent="0.25"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</row>
    <row r="140" spans="36:100" ht="15" customHeight="1" x14ac:dyDescent="0.25"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</row>
    <row r="141" spans="36:100" ht="15" customHeight="1" x14ac:dyDescent="0.25"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</row>
    <row r="142" spans="36:100" ht="15" customHeight="1" x14ac:dyDescent="0.25"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</row>
    <row r="143" spans="36:100" ht="15" customHeight="1" x14ac:dyDescent="0.25"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</row>
    <row r="144" spans="36:100" ht="15" customHeight="1" x14ac:dyDescent="0.25"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</row>
    <row r="145" spans="36:100" ht="15" customHeight="1" x14ac:dyDescent="0.25"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</row>
    <row r="146" spans="36:100" ht="15" customHeight="1" x14ac:dyDescent="0.25"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</row>
    <row r="147" spans="36:100" ht="15" customHeight="1" x14ac:dyDescent="0.25"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</row>
    <row r="148" spans="36:100" ht="15" customHeight="1" x14ac:dyDescent="0.25"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</row>
    <row r="149" spans="36:100" ht="15" customHeight="1" x14ac:dyDescent="0.25"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</row>
    <row r="150" spans="36:100" ht="15" customHeight="1" x14ac:dyDescent="0.25"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</row>
    <row r="151" spans="36:100" ht="15" customHeight="1" x14ac:dyDescent="0.25"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</row>
    <row r="152" spans="36:100" ht="15" customHeight="1" x14ac:dyDescent="0.25"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</row>
    <row r="153" spans="36:100" ht="15" customHeight="1" x14ac:dyDescent="0.25"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</row>
    <row r="154" spans="36:100" ht="15" customHeight="1" x14ac:dyDescent="0.25"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</row>
    <row r="155" spans="36:100" ht="15" customHeight="1" x14ac:dyDescent="0.25"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</row>
    <row r="156" spans="36:100" ht="15" customHeight="1" x14ac:dyDescent="0.25"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</row>
    <row r="157" spans="36:100" ht="15" customHeight="1" x14ac:dyDescent="0.25"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</row>
    <row r="158" spans="36:100" ht="15" customHeight="1" x14ac:dyDescent="0.25"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</row>
    <row r="159" spans="36:100" ht="15" customHeight="1" x14ac:dyDescent="0.25"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</row>
    <row r="160" spans="36:100" ht="15" customHeight="1" x14ac:dyDescent="0.25"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</row>
    <row r="161" spans="36:100" ht="15" customHeight="1" x14ac:dyDescent="0.25"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</row>
    <row r="162" spans="36:100" ht="15" customHeight="1" x14ac:dyDescent="0.25"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</row>
    <row r="163" spans="36:100" ht="15" customHeight="1" x14ac:dyDescent="0.25"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</row>
    <row r="164" spans="36:100" ht="15" customHeight="1" x14ac:dyDescent="0.25"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</row>
    <row r="165" spans="36:100" ht="15" customHeight="1" x14ac:dyDescent="0.25"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</row>
    <row r="166" spans="36:100" ht="15" customHeight="1" x14ac:dyDescent="0.25"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</row>
    <row r="167" spans="36:100" ht="15" customHeight="1" x14ac:dyDescent="0.25"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</row>
    <row r="168" spans="36:100" ht="15" customHeight="1" x14ac:dyDescent="0.25"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</row>
    <row r="169" spans="36:100" ht="15" customHeight="1" x14ac:dyDescent="0.25"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</row>
    <row r="170" spans="36:100" ht="15" customHeight="1" x14ac:dyDescent="0.25"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</row>
    <row r="171" spans="36:100" ht="15" customHeight="1" x14ac:dyDescent="0.25"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</row>
    <row r="172" spans="36:100" ht="15" customHeight="1" x14ac:dyDescent="0.25"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</row>
    <row r="173" spans="36:100" ht="15" customHeight="1" x14ac:dyDescent="0.25"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</row>
    <row r="174" spans="36:100" ht="15" customHeight="1" x14ac:dyDescent="0.25"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</row>
    <row r="175" spans="36:100" ht="15" customHeight="1" x14ac:dyDescent="0.25"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</row>
    <row r="176" spans="36:100" ht="15" customHeight="1" x14ac:dyDescent="0.25"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</row>
    <row r="177" spans="36:100" ht="15" customHeight="1" x14ac:dyDescent="0.25"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</row>
    <row r="178" spans="36:100" ht="15" customHeight="1" x14ac:dyDescent="0.25"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</row>
    <row r="179" spans="36:100" ht="15" customHeight="1" x14ac:dyDescent="0.25"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</row>
    <row r="180" spans="36:100" ht="15" customHeight="1" x14ac:dyDescent="0.25"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</row>
    <row r="181" spans="36:100" ht="15" customHeight="1" x14ac:dyDescent="0.25"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</row>
    <row r="182" spans="36:100" ht="15" customHeight="1" x14ac:dyDescent="0.25"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</row>
    <row r="183" spans="36:100" ht="15" customHeight="1" x14ac:dyDescent="0.25"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</row>
    <row r="184" spans="36:100" ht="15" customHeight="1" x14ac:dyDescent="0.25"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</row>
    <row r="185" spans="36:100" ht="15" customHeight="1" x14ac:dyDescent="0.25"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</row>
    <row r="186" spans="36:100" ht="15" customHeight="1" x14ac:dyDescent="0.25"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</row>
    <row r="187" spans="36:100" ht="15" customHeight="1" x14ac:dyDescent="0.25"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</row>
    <row r="188" spans="36:100" ht="15" customHeight="1" x14ac:dyDescent="0.25"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</row>
    <row r="189" spans="36:100" ht="15" customHeight="1" x14ac:dyDescent="0.25"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</row>
    <row r="190" spans="36:100" ht="15" customHeight="1" x14ac:dyDescent="0.25"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</row>
    <row r="191" spans="36:100" ht="15" customHeight="1" x14ac:dyDescent="0.25"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</row>
    <row r="192" spans="36:100" ht="15" customHeight="1" x14ac:dyDescent="0.25"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</row>
    <row r="193" spans="36:100" ht="15" customHeight="1" x14ac:dyDescent="0.25"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</row>
    <row r="194" spans="36:100" ht="15" customHeight="1" x14ac:dyDescent="0.25"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</row>
    <row r="195" spans="36:100" ht="15" customHeight="1" x14ac:dyDescent="0.25"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</row>
    <row r="196" spans="36:100" ht="15" customHeight="1" x14ac:dyDescent="0.25"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</row>
    <row r="197" spans="36:100" ht="15" customHeight="1" x14ac:dyDescent="0.25"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</row>
    <row r="198" spans="36:100" ht="15" customHeight="1" x14ac:dyDescent="0.25"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</row>
    <row r="199" spans="36:100" ht="15" customHeight="1" x14ac:dyDescent="0.25"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</row>
    <row r="200" spans="36:100" ht="15" customHeight="1" x14ac:dyDescent="0.25"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</row>
    <row r="201" spans="36:100" ht="15" customHeight="1" x14ac:dyDescent="0.25"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</row>
    <row r="202" spans="36:100" ht="15" customHeight="1" x14ac:dyDescent="0.25"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</row>
    <row r="203" spans="36:100" ht="15" customHeight="1" x14ac:dyDescent="0.25"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</row>
    <row r="204" spans="36:100" ht="15" customHeight="1" x14ac:dyDescent="0.25"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</row>
    <row r="205" spans="36:100" ht="15" customHeight="1" x14ac:dyDescent="0.25"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</row>
    <row r="206" spans="36:100" ht="15" customHeight="1" x14ac:dyDescent="0.25"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</row>
    <row r="207" spans="36:100" ht="15" customHeight="1" x14ac:dyDescent="0.25"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</row>
    <row r="208" spans="36:100" ht="15" customHeight="1" x14ac:dyDescent="0.25"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</row>
    <row r="209" spans="36:100" ht="15" customHeight="1" x14ac:dyDescent="0.25"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</row>
    <row r="210" spans="36:100" ht="15" customHeight="1" x14ac:dyDescent="0.25"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</row>
    <row r="211" spans="36:100" ht="15" customHeight="1" x14ac:dyDescent="0.25"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</row>
    <row r="212" spans="36:100" ht="15" customHeight="1" x14ac:dyDescent="0.25"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</row>
    <row r="213" spans="36:100" ht="15" customHeight="1" x14ac:dyDescent="0.25"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</row>
    <row r="214" spans="36:100" ht="15" customHeight="1" x14ac:dyDescent="0.25"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</row>
    <row r="215" spans="36:100" ht="15" customHeight="1" x14ac:dyDescent="0.25"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</row>
    <row r="216" spans="36:100" ht="15" customHeight="1" x14ac:dyDescent="0.25"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</row>
    <row r="217" spans="36:100" ht="15" customHeight="1" x14ac:dyDescent="0.25"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</row>
    <row r="218" spans="36:100" ht="15" customHeight="1" x14ac:dyDescent="0.25"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</row>
    <row r="219" spans="36:100" ht="15" customHeight="1" x14ac:dyDescent="0.25"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</row>
    <row r="220" spans="36:100" ht="15" customHeight="1" x14ac:dyDescent="0.25"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</row>
    <row r="221" spans="36:100" ht="15" customHeight="1" x14ac:dyDescent="0.25"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</row>
    <row r="222" spans="36:100" ht="15" customHeight="1" x14ac:dyDescent="0.25"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</row>
    <row r="223" spans="36:100" ht="15" customHeight="1" x14ac:dyDescent="0.25"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</row>
    <row r="224" spans="36:100" ht="15" customHeight="1" x14ac:dyDescent="0.25"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</row>
    <row r="225" spans="36:100" ht="15" customHeight="1" x14ac:dyDescent="0.25"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</row>
    <row r="226" spans="36:100" ht="15" customHeight="1" x14ac:dyDescent="0.25"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</row>
    <row r="227" spans="36:100" ht="15" customHeight="1" x14ac:dyDescent="0.25"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</row>
    <row r="228" spans="36:100" ht="15" customHeight="1" x14ac:dyDescent="0.25"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</row>
    <row r="229" spans="36:100" ht="15" customHeight="1" x14ac:dyDescent="0.25"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</row>
    <row r="230" spans="36:100" ht="15" customHeight="1" x14ac:dyDescent="0.25"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</row>
    <row r="231" spans="36:100" ht="15" customHeight="1" x14ac:dyDescent="0.25"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</row>
    <row r="232" spans="36:100" ht="15" customHeight="1" x14ac:dyDescent="0.25"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</row>
    <row r="233" spans="36:100" ht="15" customHeight="1" x14ac:dyDescent="0.25"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</row>
    <row r="234" spans="36:100" ht="15" customHeight="1" x14ac:dyDescent="0.25"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</row>
    <row r="235" spans="36:100" ht="15" customHeight="1" x14ac:dyDescent="0.25"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</row>
    <row r="236" spans="36:100" ht="15" customHeight="1" x14ac:dyDescent="0.25"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</row>
    <row r="237" spans="36:100" ht="15" customHeight="1" x14ac:dyDescent="0.25"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</row>
    <row r="238" spans="36:100" ht="15" customHeight="1" x14ac:dyDescent="0.25"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</row>
    <row r="239" spans="36:100" ht="15" customHeight="1" x14ac:dyDescent="0.25"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</row>
    <row r="240" spans="36:100" ht="15" customHeight="1" x14ac:dyDescent="0.25"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</row>
    <row r="241" spans="36:100" ht="15" customHeight="1" x14ac:dyDescent="0.25"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</row>
    <row r="242" spans="36:100" ht="15" customHeight="1" x14ac:dyDescent="0.25"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</row>
    <row r="243" spans="36:100" ht="15" customHeight="1" x14ac:dyDescent="0.25"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</row>
    <row r="244" spans="36:100" ht="15" customHeight="1" x14ac:dyDescent="0.25"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</row>
    <row r="245" spans="36:100" ht="15" customHeight="1" x14ac:dyDescent="0.25"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</row>
    <row r="246" spans="36:100" ht="15" customHeight="1" x14ac:dyDescent="0.25"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</row>
    <row r="247" spans="36:100" ht="15" customHeight="1" x14ac:dyDescent="0.25"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</row>
    <row r="248" spans="36:100" ht="15" customHeight="1" x14ac:dyDescent="0.25"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</row>
    <row r="249" spans="36:100" ht="15" customHeight="1" x14ac:dyDescent="0.25"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</row>
    <row r="250" spans="36:100" ht="15" customHeight="1" x14ac:dyDescent="0.25"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</row>
    <row r="251" spans="36:100" ht="15" customHeight="1" x14ac:dyDescent="0.25"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</row>
    <row r="252" spans="36:100" ht="15" customHeight="1" x14ac:dyDescent="0.25"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</row>
    <row r="253" spans="36:100" ht="15" customHeight="1" x14ac:dyDescent="0.25"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</row>
    <row r="254" spans="36:100" ht="15" customHeight="1" x14ac:dyDescent="0.25"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</row>
    <row r="255" spans="36:100" ht="15" customHeight="1" x14ac:dyDescent="0.25"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</row>
    <row r="256" spans="36:100" ht="15" customHeight="1" x14ac:dyDescent="0.25"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</row>
    <row r="257" spans="36:100" ht="15" customHeight="1" x14ac:dyDescent="0.25"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</row>
    <row r="258" spans="36:100" ht="15" customHeight="1" x14ac:dyDescent="0.25"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</row>
    <row r="259" spans="36:100" ht="15" customHeight="1" x14ac:dyDescent="0.25"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</row>
    <row r="260" spans="36:100" ht="15" customHeight="1" x14ac:dyDescent="0.25"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</row>
    <row r="261" spans="36:100" ht="15" customHeight="1" x14ac:dyDescent="0.25"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</row>
    <row r="262" spans="36:100" ht="15" customHeight="1" x14ac:dyDescent="0.25"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</row>
    <row r="263" spans="36:100" ht="15" customHeight="1" x14ac:dyDescent="0.25"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</row>
    <row r="264" spans="36:100" ht="15" customHeight="1" x14ac:dyDescent="0.25"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</row>
    <row r="265" spans="36:100" ht="15" customHeight="1" x14ac:dyDescent="0.25"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</row>
    <row r="266" spans="36:100" ht="15" customHeight="1" x14ac:dyDescent="0.25"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</row>
    <row r="267" spans="36:100" ht="15" customHeight="1" x14ac:dyDescent="0.25"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</row>
    <row r="268" spans="36:100" ht="15" customHeight="1" x14ac:dyDescent="0.25"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</row>
    <row r="269" spans="36:100" ht="15" customHeight="1" x14ac:dyDescent="0.25"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</row>
    <row r="270" spans="36:100" ht="15" customHeight="1" x14ac:dyDescent="0.25"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</row>
    <row r="271" spans="36:100" ht="15" customHeight="1" x14ac:dyDescent="0.25"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</row>
    <row r="272" spans="36:100" ht="15" customHeight="1" x14ac:dyDescent="0.25"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</row>
    <row r="273" spans="36:100" ht="15" customHeight="1" x14ac:dyDescent="0.25"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</row>
    <row r="274" spans="36:100" ht="15" customHeight="1" x14ac:dyDescent="0.25"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</row>
    <row r="275" spans="36:100" ht="15" customHeight="1" x14ac:dyDescent="0.25"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</row>
    <row r="276" spans="36:100" ht="15" customHeight="1" x14ac:dyDescent="0.25"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</row>
    <row r="277" spans="36:100" ht="15" customHeight="1" x14ac:dyDescent="0.25"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</row>
    <row r="278" spans="36:100" ht="15" customHeight="1" x14ac:dyDescent="0.25"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</row>
    <row r="279" spans="36:100" ht="15" customHeight="1" x14ac:dyDescent="0.25"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</row>
    <row r="280" spans="36:100" ht="15" customHeight="1" x14ac:dyDescent="0.25"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</row>
    <row r="281" spans="36:100" ht="15" customHeight="1" x14ac:dyDescent="0.25"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</row>
    <row r="282" spans="36:100" ht="15" customHeight="1" x14ac:dyDescent="0.25"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</row>
    <row r="283" spans="36:100" ht="15" customHeight="1" x14ac:dyDescent="0.25"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</row>
    <row r="284" spans="36:100" ht="15" customHeight="1" x14ac:dyDescent="0.25"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</row>
    <row r="285" spans="36:100" ht="15" customHeight="1" x14ac:dyDescent="0.25"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</row>
    <row r="286" spans="36:100" ht="15" customHeight="1" x14ac:dyDescent="0.25"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</row>
    <row r="287" spans="36:100" ht="15" customHeight="1" x14ac:dyDescent="0.25"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</row>
    <row r="288" spans="36:100" ht="15" customHeight="1" x14ac:dyDescent="0.25"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</row>
    <row r="289" spans="36:100" ht="15" customHeight="1" x14ac:dyDescent="0.25"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</row>
    <row r="290" spans="36:100" ht="15" customHeight="1" x14ac:dyDescent="0.25"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</row>
    <row r="291" spans="36:100" ht="15" customHeight="1" x14ac:dyDescent="0.25"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</row>
    <row r="292" spans="36:100" ht="15" customHeight="1" x14ac:dyDescent="0.25"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</row>
    <row r="293" spans="36:100" ht="15" customHeight="1" x14ac:dyDescent="0.25"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</row>
    <row r="294" spans="36:100" ht="15" customHeight="1" x14ac:dyDescent="0.25"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</row>
    <row r="295" spans="36:100" ht="15" customHeight="1" x14ac:dyDescent="0.25"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</row>
    <row r="296" spans="36:100" ht="15" customHeight="1" x14ac:dyDescent="0.25"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</row>
    <row r="297" spans="36:100" ht="15" customHeight="1" x14ac:dyDescent="0.25"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</row>
    <row r="298" spans="36:100" ht="15" customHeight="1" x14ac:dyDescent="0.25"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</row>
    <row r="299" spans="36:100" ht="15" customHeight="1" x14ac:dyDescent="0.25"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</row>
    <row r="300" spans="36:100" ht="15" customHeight="1" x14ac:dyDescent="0.25"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</row>
    <row r="301" spans="36:100" ht="15" customHeight="1" x14ac:dyDescent="0.25"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</row>
    <row r="302" spans="36:100" ht="15" customHeight="1" x14ac:dyDescent="0.25"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</row>
    <row r="303" spans="36:100" ht="15" customHeight="1" x14ac:dyDescent="0.25"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</row>
    <row r="304" spans="36:100" ht="15" customHeight="1" x14ac:dyDescent="0.25"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</row>
    <row r="305" spans="36:100" ht="15" customHeight="1" x14ac:dyDescent="0.25"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</row>
    <row r="306" spans="36:100" ht="15" customHeight="1" x14ac:dyDescent="0.25"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</row>
    <row r="307" spans="36:100" ht="15" customHeight="1" x14ac:dyDescent="0.25"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</row>
    <row r="308" spans="36:100" ht="15" customHeight="1" x14ac:dyDescent="0.25"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</row>
    <row r="309" spans="36:100" ht="15" customHeight="1" x14ac:dyDescent="0.25"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</row>
    <row r="310" spans="36:100" ht="15" customHeight="1" x14ac:dyDescent="0.25"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</row>
    <row r="311" spans="36:100" ht="15" customHeight="1" x14ac:dyDescent="0.25"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</row>
    <row r="312" spans="36:100" ht="15" customHeight="1" x14ac:dyDescent="0.25"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</row>
    <row r="313" spans="36:100" ht="15" customHeight="1" x14ac:dyDescent="0.25"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</row>
    <row r="314" spans="36:100" ht="15" customHeight="1" x14ac:dyDescent="0.25"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</row>
    <row r="315" spans="36:100" ht="15" customHeight="1" x14ac:dyDescent="0.25"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</row>
    <row r="316" spans="36:100" ht="15" customHeight="1" x14ac:dyDescent="0.25"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</row>
    <row r="317" spans="36:100" ht="15" customHeight="1" x14ac:dyDescent="0.25"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</row>
    <row r="318" spans="36:100" ht="15" customHeight="1" x14ac:dyDescent="0.25"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</row>
    <row r="319" spans="36:100" ht="15" customHeight="1" x14ac:dyDescent="0.25"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</row>
    <row r="320" spans="36:100" ht="15" customHeight="1" x14ac:dyDescent="0.25"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</row>
    <row r="321" spans="36:100" ht="15" customHeight="1" x14ac:dyDescent="0.25"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</row>
    <row r="322" spans="36:100" ht="15" customHeight="1" x14ac:dyDescent="0.25"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</row>
    <row r="323" spans="36:100" ht="15" customHeight="1" x14ac:dyDescent="0.25"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</row>
    <row r="324" spans="36:100" ht="15" customHeight="1" x14ac:dyDescent="0.25"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</row>
    <row r="325" spans="36:100" ht="15" customHeight="1" x14ac:dyDescent="0.25"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</row>
    <row r="326" spans="36:100" ht="15" customHeight="1" x14ac:dyDescent="0.25"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</row>
    <row r="327" spans="36:100" ht="15" customHeight="1" x14ac:dyDescent="0.25"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</row>
    <row r="328" spans="36:100" ht="15" customHeight="1" x14ac:dyDescent="0.25"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</row>
    <row r="329" spans="36:100" ht="15" customHeight="1" x14ac:dyDescent="0.25"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</row>
    <row r="330" spans="36:100" ht="15" customHeight="1" x14ac:dyDescent="0.25"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</row>
    <row r="331" spans="36:100" ht="15" customHeight="1" x14ac:dyDescent="0.25"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</row>
    <row r="332" spans="36:100" ht="15" customHeight="1" x14ac:dyDescent="0.25"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</row>
    <row r="333" spans="36:100" ht="15" customHeight="1" x14ac:dyDescent="0.25"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</row>
    <row r="334" spans="36:100" ht="15" customHeight="1" x14ac:dyDescent="0.25"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</row>
    <row r="335" spans="36:100" ht="15" customHeight="1" x14ac:dyDescent="0.25"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</row>
    <row r="336" spans="36:100" ht="15" customHeight="1" x14ac:dyDescent="0.25"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</row>
    <row r="337" spans="36:100" ht="15" customHeight="1" x14ac:dyDescent="0.25"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</row>
    <row r="338" spans="36:100" ht="15" customHeight="1" x14ac:dyDescent="0.25"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</row>
    <row r="339" spans="36:100" ht="15" customHeight="1" x14ac:dyDescent="0.25"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</row>
    <row r="340" spans="36:100" ht="15" customHeight="1" x14ac:dyDescent="0.25"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</row>
    <row r="341" spans="36:100" ht="15" customHeight="1" x14ac:dyDescent="0.25"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</row>
    <row r="342" spans="36:100" ht="15" customHeight="1" x14ac:dyDescent="0.25"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</row>
    <row r="343" spans="36:100" ht="15" customHeight="1" x14ac:dyDescent="0.25"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</row>
    <row r="344" spans="36:100" ht="15" customHeight="1" x14ac:dyDescent="0.25"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</row>
    <row r="345" spans="36:100" ht="15" customHeight="1" x14ac:dyDescent="0.25"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</row>
    <row r="346" spans="36:100" ht="15" customHeight="1" x14ac:dyDescent="0.25"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</row>
    <row r="347" spans="36:100" ht="15" customHeight="1" x14ac:dyDescent="0.25"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</row>
    <row r="348" spans="36:100" ht="15" customHeight="1" x14ac:dyDescent="0.25"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</row>
    <row r="349" spans="36:100" ht="15" customHeight="1" x14ac:dyDescent="0.25"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</row>
    <row r="350" spans="36:100" ht="15" customHeight="1" x14ac:dyDescent="0.25"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</row>
    <row r="351" spans="36:100" ht="15" customHeight="1" x14ac:dyDescent="0.25"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</row>
    <row r="352" spans="36:100" ht="15" customHeight="1" x14ac:dyDescent="0.25"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</row>
    <row r="353" spans="36:100" ht="15" customHeight="1" x14ac:dyDescent="0.25"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</row>
    <row r="354" spans="36:100" ht="15" customHeight="1" x14ac:dyDescent="0.25"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</row>
    <row r="355" spans="36:100" ht="15" customHeight="1" x14ac:dyDescent="0.25"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</row>
    <row r="356" spans="36:100" ht="15" customHeight="1" x14ac:dyDescent="0.25"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</row>
    <row r="357" spans="36:100" ht="15" customHeight="1" x14ac:dyDescent="0.25"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</row>
    <row r="358" spans="36:100" ht="15" customHeight="1" x14ac:dyDescent="0.25"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</row>
    <row r="359" spans="36:100" ht="15" customHeight="1" x14ac:dyDescent="0.25"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</row>
    <row r="360" spans="36:100" ht="15" customHeight="1" x14ac:dyDescent="0.25"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</row>
    <row r="361" spans="36:100" ht="15" customHeight="1" x14ac:dyDescent="0.25"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</row>
    <row r="362" spans="36:100" ht="15" customHeight="1" x14ac:dyDescent="0.25"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</row>
    <row r="363" spans="36:100" ht="15" customHeight="1" x14ac:dyDescent="0.25"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</row>
    <row r="364" spans="36:100" ht="15" customHeight="1" x14ac:dyDescent="0.25"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</row>
    <row r="365" spans="36:100" ht="15" customHeight="1" x14ac:dyDescent="0.25"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</row>
    <row r="366" spans="36:100" ht="15" customHeight="1" x14ac:dyDescent="0.25"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</row>
    <row r="367" spans="36:100" ht="15" customHeight="1" x14ac:dyDescent="0.25"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</row>
    <row r="368" spans="36:100" ht="15" customHeight="1" x14ac:dyDescent="0.25"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</row>
    <row r="369" spans="36:100" ht="15" customHeight="1" x14ac:dyDescent="0.25"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</row>
    <row r="370" spans="36:100" ht="15" customHeight="1" x14ac:dyDescent="0.25"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</row>
    <row r="371" spans="36:100" ht="15" customHeight="1" x14ac:dyDescent="0.25"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</row>
    <row r="372" spans="36:100" ht="15" customHeight="1" x14ac:dyDescent="0.25"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</row>
    <row r="373" spans="36:100" ht="15" customHeight="1" x14ac:dyDescent="0.25"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</row>
    <row r="374" spans="36:100" ht="15" customHeight="1" x14ac:dyDescent="0.25"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</row>
    <row r="375" spans="36:100" ht="15" customHeight="1" x14ac:dyDescent="0.25"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</row>
    <row r="376" spans="36:100" ht="15" customHeight="1" x14ac:dyDescent="0.25"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</row>
    <row r="377" spans="36:100" ht="15" customHeight="1" x14ac:dyDescent="0.25"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</row>
    <row r="378" spans="36:100" ht="15" customHeight="1" x14ac:dyDescent="0.25"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</row>
    <row r="379" spans="36:100" ht="15" customHeight="1" x14ac:dyDescent="0.25"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</row>
    <row r="380" spans="36:100" ht="15" customHeight="1" x14ac:dyDescent="0.25"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</row>
    <row r="381" spans="36:100" ht="15" customHeight="1" x14ac:dyDescent="0.25"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</row>
    <row r="382" spans="36:100" ht="15" customHeight="1" x14ac:dyDescent="0.25"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</row>
    <row r="383" spans="36:100" ht="15" customHeight="1" x14ac:dyDescent="0.25"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</row>
    <row r="384" spans="36:100" ht="15" customHeight="1" x14ac:dyDescent="0.25"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</row>
    <row r="385" spans="36:100" ht="15" customHeight="1" x14ac:dyDescent="0.25"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</row>
    <row r="386" spans="36:100" ht="15" customHeight="1" x14ac:dyDescent="0.25"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</row>
    <row r="387" spans="36:100" ht="15" customHeight="1" x14ac:dyDescent="0.25"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</row>
    <row r="388" spans="36:100" ht="15" customHeight="1" x14ac:dyDescent="0.25"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</row>
    <row r="389" spans="36:100" ht="15" customHeight="1" x14ac:dyDescent="0.25"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</row>
    <row r="390" spans="36:100" ht="15" customHeight="1" x14ac:dyDescent="0.25"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</row>
    <row r="391" spans="36:100" ht="15" customHeight="1" x14ac:dyDescent="0.25"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</row>
    <row r="392" spans="36:100" ht="15" customHeight="1" x14ac:dyDescent="0.25"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</row>
    <row r="393" spans="36:100" ht="15" customHeight="1" x14ac:dyDescent="0.25"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</row>
    <row r="394" spans="36:100" ht="15" customHeight="1" x14ac:dyDescent="0.25"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</row>
    <row r="395" spans="36:100" ht="15" customHeight="1" x14ac:dyDescent="0.25"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</row>
    <row r="396" spans="36:100" ht="15" customHeight="1" x14ac:dyDescent="0.25"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</row>
    <row r="397" spans="36:100" ht="15" customHeight="1" x14ac:dyDescent="0.25"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</row>
    <row r="398" spans="36:100" ht="15" customHeight="1" x14ac:dyDescent="0.25"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</row>
    <row r="399" spans="36:100" ht="15" customHeight="1" x14ac:dyDescent="0.25"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</row>
    <row r="400" spans="36:100" ht="15" customHeight="1" x14ac:dyDescent="0.25"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</row>
    <row r="401" spans="36:100" ht="15" customHeight="1" x14ac:dyDescent="0.25"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</row>
    <row r="402" spans="36:100" ht="15" customHeight="1" x14ac:dyDescent="0.25"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</row>
    <row r="403" spans="36:100" ht="15" customHeight="1" x14ac:dyDescent="0.25"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</row>
    <row r="404" spans="36:100" ht="15" customHeight="1" x14ac:dyDescent="0.25"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</row>
    <row r="405" spans="36:100" ht="15" customHeight="1" x14ac:dyDescent="0.25"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</row>
    <row r="406" spans="36:100" ht="15" customHeight="1" x14ac:dyDescent="0.25"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</row>
    <row r="407" spans="36:100" ht="15" customHeight="1" x14ac:dyDescent="0.25"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</row>
    <row r="408" spans="36:100" ht="15" customHeight="1" x14ac:dyDescent="0.25"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</row>
    <row r="409" spans="36:100" ht="15" customHeight="1" x14ac:dyDescent="0.25"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</row>
    <row r="410" spans="36:100" ht="15" customHeight="1" x14ac:dyDescent="0.25"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</row>
    <row r="411" spans="36:100" ht="15" customHeight="1" x14ac:dyDescent="0.25"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</row>
    <row r="412" spans="36:100" ht="15" customHeight="1" x14ac:dyDescent="0.25"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</row>
    <row r="413" spans="36:100" ht="15" customHeight="1" x14ac:dyDescent="0.25"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</row>
    <row r="414" spans="36:100" ht="15" customHeight="1" x14ac:dyDescent="0.25"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</row>
    <row r="415" spans="36:100" ht="15" customHeight="1" x14ac:dyDescent="0.25"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</row>
    <row r="416" spans="36:100" ht="15" customHeight="1" x14ac:dyDescent="0.25"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</row>
    <row r="417" spans="36:100" ht="15" customHeight="1" x14ac:dyDescent="0.25"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</row>
    <row r="418" spans="36:100" ht="15" customHeight="1" x14ac:dyDescent="0.25"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</row>
    <row r="419" spans="36:100" ht="15" customHeight="1" x14ac:dyDescent="0.25"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</row>
    <row r="420" spans="36:100" ht="15" customHeight="1" x14ac:dyDescent="0.25"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</row>
    <row r="421" spans="36:100" ht="15" customHeight="1" x14ac:dyDescent="0.25"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</row>
    <row r="422" spans="36:100" ht="15" customHeight="1" x14ac:dyDescent="0.25"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</row>
    <row r="423" spans="36:100" ht="15" customHeight="1" x14ac:dyDescent="0.25"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</row>
    <row r="424" spans="36:100" ht="15" customHeight="1" x14ac:dyDescent="0.25"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</row>
    <row r="425" spans="36:100" ht="15" customHeight="1" x14ac:dyDescent="0.25"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</row>
    <row r="426" spans="36:100" ht="15" customHeight="1" x14ac:dyDescent="0.25"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</row>
    <row r="427" spans="36:100" ht="15" customHeight="1" x14ac:dyDescent="0.25"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</row>
    <row r="428" spans="36:100" ht="15" customHeight="1" x14ac:dyDescent="0.25"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</row>
    <row r="429" spans="36:100" ht="15" customHeight="1" x14ac:dyDescent="0.25"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</row>
    <row r="430" spans="36:100" ht="15" customHeight="1" x14ac:dyDescent="0.25"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</row>
    <row r="431" spans="36:100" ht="15" customHeight="1" x14ac:dyDescent="0.25"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</row>
    <row r="432" spans="36:100" ht="15" customHeight="1" x14ac:dyDescent="0.25"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</row>
    <row r="433" spans="36:100" ht="15" customHeight="1" x14ac:dyDescent="0.25"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</row>
    <row r="434" spans="36:100" ht="15" customHeight="1" x14ac:dyDescent="0.25"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</row>
    <row r="435" spans="36:100" ht="15" customHeight="1" x14ac:dyDescent="0.25"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</row>
    <row r="436" spans="36:100" ht="15" customHeight="1" x14ac:dyDescent="0.25"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</row>
    <row r="437" spans="36:100" ht="15" customHeight="1" x14ac:dyDescent="0.25"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</row>
    <row r="438" spans="36:100" ht="15" customHeight="1" x14ac:dyDescent="0.25"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</row>
    <row r="439" spans="36:100" ht="15" customHeight="1" x14ac:dyDescent="0.25"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</row>
    <row r="440" spans="36:100" ht="15" customHeight="1" x14ac:dyDescent="0.25"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</row>
    <row r="441" spans="36:100" ht="15" customHeight="1" x14ac:dyDescent="0.25"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</row>
    <row r="442" spans="36:100" ht="15" customHeight="1" x14ac:dyDescent="0.25"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</row>
    <row r="443" spans="36:100" ht="15" customHeight="1" x14ac:dyDescent="0.25"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</row>
    <row r="444" spans="36:100" ht="15" customHeight="1" x14ac:dyDescent="0.25"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</row>
    <row r="445" spans="36:100" ht="15" customHeight="1" x14ac:dyDescent="0.25"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</row>
    <row r="446" spans="36:100" ht="15" customHeight="1" x14ac:dyDescent="0.25"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</row>
    <row r="447" spans="36:100" ht="15" customHeight="1" x14ac:dyDescent="0.25"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</row>
    <row r="448" spans="36:100" ht="15" customHeight="1" x14ac:dyDescent="0.25"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</row>
    <row r="449" spans="36:100" ht="15" customHeight="1" x14ac:dyDescent="0.25"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</row>
    <row r="450" spans="36:100" ht="15" customHeight="1" x14ac:dyDescent="0.25"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</row>
    <row r="451" spans="36:100" ht="15" customHeight="1" x14ac:dyDescent="0.25"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</row>
    <row r="452" spans="36:100" ht="15" customHeight="1" x14ac:dyDescent="0.25"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</row>
    <row r="453" spans="36:100" ht="15" customHeight="1" x14ac:dyDescent="0.25"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</row>
    <row r="454" spans="36:100" ht="15" customHeight="1" x14ac:dyDescent="0.25"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</row>
    <row r="455" spans="36:100" ht="15" customHeight="1" x14ac:dyDescent="0.25"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</row>
    <row r="456" spans="36:100" ht="15" customHeight="1" x14ac:dyDescent="0.25"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</row>
    <row r="457" spans="36:100" ht="15" customHeight="1" x14ac:dyDescent="0.25"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</row>
    <row r="458" spans="36:100" ht="15" customHeight="1" x14ac:dyDescent="0.25"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</row>
    <row r="459" spans="36:100" ht="15" customHeight="1" x14ac:dyDescent="0.25"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</row>
    <row r="460" spans="36:100" ht="15" customHeight="1" x14ac:dyDescent="0.25"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</row>
    <row r="461" spans="36:100" ht="15" customHeight="1" x14ac:dyDescent="0.25"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</row>
    <row r="462" spans="36:100" ht="15" customHeight="1" x14ac:dyDescent="0.25"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</row>
    <row r="463" spans="36:100" ht="15" customHeight="1" x14ac:dyDescent="0.25"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</row>
    <row r="464" spans="36:100" ht="15" customHeight="1" x14ac:dyDescent="0.25"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</row>
    <row r="465" spans="36:100" ht="15" customHeight="1" x14ac:dyDescent="0.25"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</row>
    <row r="466" spans="36:100" ht="15" customHeight="1" x14ac:dyDescent="0.25"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</row>
    <row r="467" spans="36:100" ht="15" customHeight="1" x14ac:dyDescent="0.25"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</row>
    <row r="468" spans="36:100" ht="15" customHeight="1" x14ac:dyDescent="0.25"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</row>
    <row r="469" spans="36:100" ht="15" customHeight="1" x14ac:dyDescent="0.25"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</row>
    <row r="470" spans="36:100" ht="15" customHeight="1" x14ac:dyDescent="0.25"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</row>
    <row r="471" spans="36:100" ht="15" customHeight="1" x14ac:dyDescent="0.25"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</row>
    <row r="472" spans="36:100" ht="15" customHeight="1" x14ac:dyDescent="0.25"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</row>
    <row r="473" spans="36:100" ht="15" customHeight="1" x14ac:dyDescent="0.25"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</row>
    <row r="474" spans="36:100" ht="15" customHeight="1" x14ac:dyDescent="0.25"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</row>
    <row r="475" spans="36:100" ht="15" customHeight="1" x14ac:dyDescent="0.25"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</row>
    <row r="476" spans="36:100" ht="15" customHeight="1" x14ac:dyDescent="0.25"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</row>
    <row r="477" spans="36:100" ht="15" customHeight="1" x14ac:dyDescent="0.25"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</row>
    <row r="478" spans="36:100" ht="15" customHeight="1" x14ac:dyDescent="0.25"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</row>
    <row r="479" spans="36:100" ht="15" customHeight="1" x14ac:dyDescent="0.25"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</row>
    <row r="480" spans="36:100" ht="15" customHeight="1" x14ac:dyDescent="0.25"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</row>
    <row r="481" spans="36:100" ht="15" customHeight="1" x14ac:dyDescent="0.25"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</row>
    <row r="482" spans="36:100" ht="15" customHeight="1" x14ac:dyDescent="0.25"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</row>
    <row r="483" spans="36:100" ht="15" customHeight="1" x14ac:dyDescent="0.25"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</row>
    <row r="484" spans="36:100" ht="15" customHeight="1" x14ac:dyDescent="0.25"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</row>
    <row r="485" spans="36:100" ht="15" customHeight="1" x14ac:dyDescent="0.25"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</row>
    <row r="486" spans="36:100" ht="15" customHeight="1" x14ac:dyDescent="0.25"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</row>
    <row r="487" spans="36:100" ht="15" customHeight="1" x14ac:dyDescent="0.25"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</row>
    <row r="488" spans="36:100" ht="15" customHeight="1" x14ac:dyDescent="0.25"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</row>
    <row r="489" spans="36:100" ht="15" customHeight="1" x14ac:dyDescent="0.25"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</row>
    <row r="490" spans="36:100" ht="15" customHeight="1" x14ac:dyDescent="0.25"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</row>
    <row r="491" spans="36:100" ht="15" customHeight="1" x14ac:dyDescent="0.25"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</row>
    <row r="492" spans="36:100" ht="15" customHeight="1" x14ac:dyDescent="0.25"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</row>
    <row r="493" spans="36:100" ht="15" customHeight="1" x14ac:dyDescent="0.25"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</row>
    <row r="494" spans="36:100" ht="15" customHeight="1" x14ac:dyDescent="0.25"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</row>
    <row r="495" spans="36:100" ht="15" customHeight="1" x14ac:dyDescent="0.25"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</row>
    <row r="496" spans="36:100" ht="15" customHeight="1" x14ac:dyDescent="0.25"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</row>
    <row r="497" spans="36:100" ht="15" customHeight="1" x14ac:dyDescent="0.25"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</row>
    <row r="498" spans="36:100" ht="15" customHeight="1" x14ac:dyDescent="0.25"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</row>
    <row r="499" spans="36:100" ht="15" customHeight="1" x14ac:dyDescent="0.25"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</row>
    <row r="500" spans="36:100" ht="15" customHeight="1" x14ac:dyDescent="0.25"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</row>
    <row r="501" spans="36:100" ht="15" customHeight="1" x14ac:dyDescent="0.25"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</row>
    <row r="502" spans="36:100" ht="15" customHeight="1" x14ac:dyDescent="0.25"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</row>
    <row r="503" spans="36:100" ht="15" customHeight="1" x14ac:dyDescent="0.25"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</row>
    <row r="504" spans="36:100" ht="15" customHeight="1" x14ac:dyDescent="0.25"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</row>
    <row r="505" spans="36:100" ht="15" customHeight="1" x14ac:dyDescent="0.25"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</row>
    <row r="506" spans="36:100" ht="15" customHeight="1" x14ac:dyDescent="0.25"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</row>
    <row r="507" spans="36:100" ht="15" customHeight="1" x14ac:dyDescent="0.25"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</row>
    <row r="508" spans="36:100" ht="15" customHeight="1" x14ac:dyDescent="0.25"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</row>
    <row r="509" spans="36:100" ht="15" customHeight="1" x14ac:dyDescent="0.25"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</row>
    <row r="510" spans="36:100" ht="15" customHeight="1" x14ac:dyDescent="0.25"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</row>
    <row r="511" spans="36:100" ht="15" customHeight="1" x14ac:dyDescent="0.25"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</row>
    <row r="512" spans="36:100" ht="15" customHeight="1" x14ac:dyDescent="0.25"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</row>
    <row r="513" spans="36:100" ht="15" customHeight="1" x14ac:dyDescent="0.25"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</row>
    <row r="514" spans="36:100" ht="15" customHeight="1" x14ac:dyDescent="0.25"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</row>
    <row r="515" spans="36:100" ht="15" customHeight="1" x14ac:dyDescent="0.25"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</row>
    <row r="516" spans="36:100" ht="15" customHeight="1" x14ac:dyDescent="0.25"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</row>
    <row r="517" spans="36:100" ht="15" customHeight="1" x14ac:dyDescent="0.25"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</row>
    <row r="518" spans="36:100" ht="15" customHeight="1" x14ac:dyDescent="0.25"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</row>
    <row r="519" spans="36:100" ht="15" customHeight="1" x14ac:dyDescent="0.25"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</row>
    <row r="520" spans="36:100" ht="15" customHeight="1" x14ac:dyDescent="0.25"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</row>
    <row r="521" spans="36:100" ht="15" customHeight="1" x14ac:dyDescent="0.25"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</row>
    <row r="522" spans="36:100" ht="15" customHeight="1" x14ac:dyDescent="0.25"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</row>
    <row r="523" spans="36:100" ht="15" customHeight="1" x14ac:dyDescent="0.25"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</row>
    <row r="524" spans="36:100" ht="15" customHeight="1" x14ac:dyDescent="0.25"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</row>
    <row r="525" spans="36:100" ht="15" customHeight="1" x14ac:dyDescent="0.25"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</row>
    <row r="526" spans="36:100" ht="15" customHeight="1" x14ac:dyDescent="0.25"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</row>
    <row r="527" spans="36:100" ht="15" customHeight="1" x14ac:dyDescent="0.25"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</row>
    <row r="528" spans="36:100" ht="15" customHeight="1" x14ac:dyDescent="0.25"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</row>
    <row r="529" spans="36:100" ht="15" customHeight="1" x14ac:dyDescent="0.25"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</row>
    <row r="530" spans="36:100" ht="15" customHeight="1" x14ac:dyDescent="0.25"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</row>
    <row r="531" spans="36:100" ht="15" customHeight="1" x14ac:dyDescent="0.25"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</row>
    <row r="532" spans="36:100" ht="15" customHeight="1" x14ac:dyDescent="0.25"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</row>
    <row r="533" spans="36:100" ht="15" customHeight="1" x14ac:dyDescent="0.25"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</row>
    <row r="534" spans="36:100" ht="15" customHeight="1" x14ac:dyDescent="0.25"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</row>
    <row r="535" spans="36:100" ht="15" customHeight="1" x14ac:dyDescent="0.25"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</row>
    <row r="536" spans="36:100" ht="15" customHeight="1" x14ac:dyDescent="0.25"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</row>
    <row r="537" spans="36:100" ht="15" customHeight="1" x14ac:dyDescent="0.25"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</row>
    <row r="538" spans="36:100" ht="15" customHeight="1" x14ac:dyDescent="0.25"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</row>
    <row r="539" spans="36:100" ht="15" customHeight="1" x14ac:dyDescent="0.25"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</row>
    <row r="540" spans="36:100" ht="15" customHeight="1" x14ac:dyDescent="0.25"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</row>
  </sheetData>
  <mergeCells count="36">
    <mergeCell ref="CD3:CF3"/>
    <mergeCell ref="CG3:CI3"/>
    <mergeCell ref="CJ3:CL3"/>
    <mergeCell ref="CM3:CO3"/>
    <mergeCell ref="CP3:CR3"/>
    <mergeCell ref="BO3:BQ3"/>
    <mergeCell ref="BR3:BT3"/>
    <mergeCell ref="BU3:BW3"/>
    <mergeCell ref="BX3:BZ3"/>
    <mergeCell ref="CA3:CC3"/>
    <mergeCell ref="AZ3:BB3"/>
    <mergeCell ref="BC3:BE3"/>
    <mergeCell ref="BF3:BH3"/>
    <mergeCell ref="BI3:BK3"/>
    <mergeCell ref="BL3:BN3"/>
    <mergeCell ref="AK3:AM3"/>
    <mergeCell ref="AN3:AP3"/>
    <mergeCell ref="AQ3:AS3"/>
    <mergeCell ref="AT3:AV3"/>
    <mergeCell ref="AW3:AY3"/>
    <mergeCell ref="A1:DB1"/>
    <mergeCell ref="B2:B4"/>
    <mergeCell ref="C2:Q2"/>
    <mergeCell ref="R2:R4"/>
    <mergeCell ref="S2:S4"/>
    <mergeCell ref="T2:AH2"/>
    <mergeCell ref="AI2:AI4"/>
    <mergeCell ref="AJ2:AJ4"/>
    <mergeCell ref="AK2:CR2"/>
    <mergeCell ref="CS2:CV2"/>
    <mergeCell ref="CW2:CW4"/>
    <mergeCell ref="CX2:CX4"/>
    <mergeCell ref="CY2:CY4"/>
    <mergeCell ref="CZ2:CZ4"/>
    <mergeCell ref="DA2:DA4"/>
    <mergeCell ref="DB2:DB4"/>
  </mergeCells>
  <conditionalFormatting sqref="C5:Q121 T5:AH121 AK5:AK121 AM5:AN121 AP5:AQ121 AS5:AT121 AV5:AW121 AY5:AZ121 BB5:BC121 BE5:BF121 BH5:BI121 BK5:BL121 BN5:BO121 BQ5:BR121 BT5:BU121 BW5:BX121 BZ5:CA121 CC5:CD121 CF5:CG121 CI5:CJ121 CL5:CM121 CO5:CP121 CR5:CR121">
    <cfRule type="cellIs" dxfId="16" priority="1" operator="equal">
      <formula>0</formula>
    </cfRule>
    <cfRule type="cellIs" dxfId="15" priority="2" operator="equal">
      <formula>0.25</formula>
    </cfRule>
    <cfRule type="cellIs" dxfId="14" priority="3" operator="equal">
      <formula>0.5</formula>
    </cfRule>
    <cfRule type="cellIs" dxfId="13" priority="4" operator="equal">
      <formula>1</formula>
    </cfRule>
  </conditionalFormatting>
  <conditionalFormatting sqref="DB5:DB121">
    <cfRule type="cellIs" dxfId="12" priority="6" operator="equal">
      <formula>"A"</formula>
    </cfRule>
    <cfRule type="cellIs" dxfId="11" priority="7" operator="equal">
      <formula>"B"</formula>
    </cfRule>
    <cfRule type="cellIs" dxfId="10" priority="8" operator="equal">
      <formula>"C"</formula>
    </cfRule>
    <cfRule type="cellIs" dxfId="9" priority="9" operator="equal">
      <formula>"D"</formula>
    </cfRule>
    <cfRule type="cellIs" dxfId="8" priority="10" operator="equal">
      <formula>"F"</formula>
    </cfRule>
  </conditionalFormatting>
  <dataValidations count="2">
    <dataValidation type="decimal" allowBlank="1" sqref="AL5:AL121 AO5:AO121 AR5:AR121 AU5:AU121 AX5:AX121 BA5:BA121 BD5:BD121 BG5:BG121 BJ5:BJ121 BM5:BM121 BP5:BP121 BS5:BS121 BV5:BV121 BY5:BY121 CB5:CB121 CE5:CE121 CH5:CH121 CK5:CK121 CN5:CN121 CQ5:CQ121" xr:uid="{00000000-0002-0000-0000-000000000000}">
      <formula1>0</formula1>
      <formula2>5</formula2>
    </dataValidation>
    <dataValidation type="decimal" allowBlank="1" sqref="CW5:CY121" xr:uid="{00000000-0002-0000-0000-000001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showGridLines="0" zoomScaleNormal="100" workbookViewId="0">
      <pane ySplit="1" topLeftCell="A2" activePane="bottomLeft" state="frozen"/>
      <selection pane="bottomLeft" activeCell="D29" sqref="D29"/>
    </sheetView>
  </sheetViews>
  <sheetFormatPr defaultColWidth="8.7109375" defaultRowHeight="15" x14ac:dyDescent="0.25"/>
  <cols>
    <col min="1" max="1" width="8.140625" customWidth="1"/>
    <col min="2" max="2" width="22" customWidth="1"/>
    <col min="3" max="3" width="13" customWidth="1"/>
    <col min="4" max="4" width="10" customWidth="1"/>
    <col min="5" max="5" width="9" customWidth="1"/>
  </cols>
  <sheetData>
    <row r="1" spans="1:5" ht="15" customHeight="1" x14ac:dyDescent="0.25">
      <c r="A1" s="17" t="s">
        <v>25</v>
      </c>
      <c r="B1" s="17" t="s">
        <v>17</v>
      </c>
      <c r="C1" s="17" t="s">
        <v>26</v>
      </c>
      <c r="D1" s="17" t="s">
        <v>27</v>
      </c>
      <c r="E1" s="17" t="s">
        <v>28</v>
      </c>
    </row>
    <row r="2" spans="1:5" ht="15.75" customHeight="1" x14ac:dyDescent="0.25">
      <c r="A2" s="18">
        <v>1</v>
      </c>
      <c r="B2" s="18" t="str">
        <f>IFERROR(INDEX('Member Evaluation'!$A$5:$A$121,MATCH(LARGE('Member Evaluation'!$DE$5:$DE$121,1),'Member Evaluation'!$DE$5:$DE$121,0)),"")</f>
        <v/>
      </c>
      <c r="C2" s="18" t="str">
        <f t="shared" ref="C2:C65" si="0">IF(B2="","","OR")</f>
        <v/>
      </c>
      <c r="D2" s="19" t="str">
        <f>IFERROR(INDEX('Member Evaluation'!$CZ$5:$CZ$121, MATCH(LARGE('Member Evaluation'!$DE$5:$DE$121, ROW(A1)), 'Member Evaluation'!$DE$5:$DE$121, 0)), "")</f>
        <v/>
      </c>
      <c r="E2" s="18" t="str">
        <f>IFERROR(INDEX('Member Evaluation'!$DB$5:$DB$121,MATCH(LARGE('Member Evaluation'!$DE$5:$DE$121,1),'Member Evaluation'!$DE$5:$DE$121,0)),"")</f>
        <v/>
      </c>
    </row>
    <row r="3" spans="1:5" ht="15.75" customHeight="1" x14ac:dyDescent="0.25">
      <c r="A3" s="18">
        <v>2</v>
      </c>
      <c r="B3" s="18" t="str">
        <f>IFERROR(INDEX('Member Evaluation'!$A$5:$A$121,MATCH(LARGE('Member Evaluation'!$DE$5:$DE$121,2),'Member Evaluation'!$DE$5:$DE$121,0)),"")</f>
        <v/>
      </c>
      <c r="C3" s="18" t="str">
        <f t="shared" si="0"/>
        <v/>
      </c>
      <c r="D3" s="19" t="str">
        <f>IFERROR(INDEX('Member Evaluation'!$CZ$5:$CZ$121, MATCH(LARGE('Member Evaluation'!$DE$5:$DE$121, ROW(A2)), 'Member Evaluation'!$DE$5:$DE$121, 0)), "")</f>
        <v/>
      </c>
      <c r="E3" s="18" t="str">
        <f>IFERROR(INDEX('Member Evaluation'!$DB$5:$DB$121,MATCH(LARGE('Member Evaluation'!$DE$5:$DE$121,2),'Member Evaluation'!$DE$5:$DE$121,0)),"")</f>
        <v/>
      </c>
    </row>
    <row r="4" spans="1:5" ht="15.75" customHeight="1" x14ac:dyDescent="0.25">
      <c r="A4" s="18">
        <v>3</v>
      </c>
      <c r="B4" s="18" t="str">
        <f>IFERROR(INDEX('Member Evaluation'!$A$5:$A$121,MATCH(LARGE('Member Evaluation'!$DE$5:$DE$121,3),'Member Evaluation'!$DE$5:$DE$121,0)),"")</f>
        <v/>
      </c>
      <c r="C4" s="18" t="str">
        <f t="shared" si="0"/>
        <v/>
      </c>
      <c r="D4" s="19" t="str">
        <f>IFERROR(INDEX('Member Evaluation'!$CZ$5:$CZ$121, MATCH(LARGE('Member Evaluation'!$DE$5:$DE$121, ROW(A3)), 'Member Evaluation'!$DE$5:$DE$121, 0)), "")</f>
        <v/>
      </c>
      <c r="E4" s="18" t="str">
        <f>IFERROR(INDEX('Member Evaluation'!$DB$5:$DB$121,MATCH(LARGE('Member Evaluation'!$DE$5:$DE$121,3),'Member Evaluation'!$DE$5:$DE$121,0)),"")</f>
        <v/>
      </c>
    </row>
    <row r="5" spans="1:5" ht="15.75" customHeight="1" x14ac:dyDescent="0.25">
      <c r="A5" s="18">
        <v>4</v>
      </c>
      <c r="B5" s="18" t="str">
        <f>IFERROR(INDEX('Member Evaluation'!$A$5:$A$121,MATCH(LARGE('Member Evaluation'!$DE$5:$DE$121,4),'Member Evaluation'!$DE$5:$DE$121,0)),"")</f>
        <v/>
      </c>
      <c r="C5" s="18" t="str">
        <f t="shared" si="0"/>
        <v/>
      </c>
      <c r="D5" s="18" t="str">
        <f>IFERROR(INDEX('Member Evaluation'!$CZ$5:$CZ$121, MATCH(LARGE('Member Evaluation'!$DE$5:$DE$121, ROW(A4)), 'Member Evaluation'!$DE$5:$DE$121, 0)), "")</f>
        <v/>
      </c>
      <c r="E5" s="18" t="str">
        <f>IFERROR(INDEX('Member Evaluation'!$DB$5:$DB$121,MATCH(LARGE('Member Evaluation'!$DE$5:$DE$121,4),'Member Evaluation'!$DE$5:$DE$121,0)),"")</f>
        <v/>
      </c>
    </row>
    <row r="6" spans="1:5" ht="15.75" customHeight="1" x14ac:dyDescent="0.25">
      <c r="A6" s="18">
        <v>5</v>
      </c>
      <c r="B6" s="18" t="str">
        <f>IFERROR(INDEX('Member Evaluation'!$A$5:$A$121,MATCH(LARGE('Member Evaluation'!$DE$5:$DE$121,5),'Member Evaluation'!$DE$5:$DE$121,0)),"")</f>
        <v/>
      </c>
      <c r="C6" s="18" t="str">
        <f t="shared" si="0"/>
        <v/>
      </c>
      <c r="D6" s="18" t="str">
        <f>IFERROR(INDEX('Member Evaluation'!$CZ$5:$CZ$121, MATCH(LARGE('Member Evaluation'!$DE$5:$DE$121, ROW(A5)), 'Member Evaluation'!$DE$5:$DE$121, 0)), "")</f>
        <v/>
      </c>
      <c r="E6" s="18" t="str">
        <f>IFERROR(INDEX('Member Evaluation'!$DB$5:$DB$121,MATCH(LARGE('Member Evaluation'!$DE$5:$DE$121,5),'Member Evaluation'!$DE$5:$DE$121,0)),"")</f>
        <v/>
      </c>
    </row>
    <row r="7" spans="1:5" ht="15.75" customHeight="1" x14ac:dyDescent="0.25">
      <c r="A7" s="18">
        <v>6</v>
      </c>
      <c r="B7" s="18" t="str">
        <f>IFERROR(INDEX('Member Evaluation'!$A$5:$A$121,MATCH(LARGE('Member Evaluation'!$DE$5:$DE$121,6),'Member Evaluation'!$DE$5:$DE$121,0)),"")</f>
        <v/>
      </c>
      <c r="C7" s="18" t="str">
        <f t="shared" si="0"/>
        <v/>
      </c>
      <c r="D7" s="18" t="str">
        <f>IFERROR(INDEX('Member Evaluation'!$CZ$5:$CZ$121, MATCH(LARGE('Member Evaluation'!$DE$5:$DE$121, ROW(A6)), 'Member Evaluation'!$DE$5:$DE$121, 0)), "")</f>
        <v/>
      </c>
      <c r="E7" s="18" t="str">
        <f>IFERROR(INDEX('Member Evaluation'!$DB$5:$DB$121,MATCH(LARGE('Member Evaluation'!$DE$5:$DE$121,6),'Member Evaluation'!$DE$5:$DE$121,0)),"")</f>
        <v/>
      </c>
    </row>
    <row r="8" spans="1:5" ht="15.75" customHeight="1" x14ac:dyDescent="0.25">
      <c r="A8" s="18">
        <v>7</v>
      </c>
      <c r="B8" s="18" t="str">
        <f>IFERROR(INDEX('Member Evaluation'!$A$5:$A$121,MATCH(LARGE('Member Evaluation'!$DE$5:$DE$121,7),'Member Evaluation'!$DE$5:$DE$121,0)),"")</f>
        <v/>
      </c>
      <c r="C8" s="18" t="str">
        <f t="shared" si="0"/>
        <v/>
      </c>
      <c r="D8" s="18" t="str">
        <f>IFERROR(INDEX('Member Evaluation'!$CZ$5:$CZ$121, MATCH(LARGE('Member Evaluation'!$DE$5:$DE$121, ROW(A7)), 'Member Evaluation'!$DE$5:$DE$121, 0)), "")</f>
        <v/>
      </c>
      <c r="E8" s="18" t="str">
        <f>IFERROR(INDEX('Member Evaluation'!$DB$5:$DB$121,MATCH(LARGE('Member Evaluation'!$DE$5:$DE$121,7),'Member Evaluation'!$DE$5:$DE$121,0)),"")</f>
        <v/>
      </c>
    </row>
    <row r="9" spans="1:5" ht="15.75" customHeight="1" x14ac:dyDescent="0.25">
      <c r="A9" s="18">
        <v>8</v>
      </c>
      <c r="B9" s="18" t="str">
        <f>IFERROR(INDEX('Member Evaluation'!$A$5:$A$121,MATCH(LARGE('Member Evaluation'!$DE$5:$DE$121,8),'Member Evaluation'!$DE$5:$DE$121,0)),"")</f>
        <v/>
      </c>
      <c r="C9" s="18" t="str">
        <f t="shared" si="0"/>
        <v/>
      </c>
      <c r="D9" s="18" t="str">
        <f>IFERROR(INDEX('Member Evaluation'!$CZ$5:$CZ$121, MATCH(LARGE('Member Evaluation'!$DE$5:$DE$121, ROW(A8)), 'Member Evaluation'!$DE$5:$DE$121, 0)), "")</f>
        <v/>
      </c>
      <c r="E9" s="18" t="str">
        <f>IFERROR(INDEX('Member Evaluation'!$DB$5:$DB$121,MATCH(LARGE('Member Evaluation'!$DE$5:$DE$121,8),'Member Evaluation'!$DE$5:$DE$121,0)),"")</f>
        <v/>
      </c>
    </row>
    <row r="10" spans="1:5" ht="15.75" customHeight="1" x14ac:dyDescent="0.25">
      <c r="A10" s="18">
        <v>9</v>
      </c>
      <c r="B10" s="18" t="str">
        <f>IFERROR(INDEX('Member Evaluation'!$A$5:$A$121,MATCH(LARGE('Member Evaluation'!$DE$5:$DE$121,9),'Member Evaluation'!$DE$5:$DE$121,0)),"")</f>
        <v/>
      </c>
      <c r="C10" s="18" t="str">
        <f t="shared" si="0"/>
        <v/>
      </c>
      <c r="D10" s="18" t="str">
        <f>IFERROR(INDEX('Member Evaluation'!$CZ$5:$CZ$121, MATCH(LARGE('Member Evaluation'!$DE$5:$DE$121, ROW(A9)), 'Member Evaluation'!$DE$5:$DE$121, 0)), "")</f>
        <v/>
      </c>
      <c r="E10" s="18" t="str">
        <f>IFERROR(INDEX('Member Evaluation'!$DB$5:$DB$121,MATCH(LARGE('Member Evaluation'!$DE$5:$DE$121,9),'Member Evaluation'!$DE$5:$DE$121,0)),"")</f>
        <v/>
      </c>
    </row>
    <row r="11" spans="1:5" ht="15.75" customHeight="1" x14ac:dyDescent="0.25">
      <c r="A11" s="18">
        <v>10</v>
      </c>
      <c r="B11" s="18" t="str">
        <f>IFERROR(INDEX('Member Evaluation'!$A$5:$A$121,MATCH(LARGE('Member Evaluation'!$DE$5:$DE$121,10),'Member Evaluation'!$DE$5:$DE$121,0)),"")</f>
        <v/>
      </c>
      <c r="C11" s="18" t="str">
        <f t="shared" si="0"/>
        <v/>
      </c>
      <c r="D11" s="18" t="str">
        <f>IFERROR(INDEX('Member Evaluation'!$CZ$5:$CZ$121, MATCH(LARGE('Member Evaluation'!$DE$5:$DE$121, ROW(A10)), 'Member Evaluation'!$DE$5:$DE$121, 0)), "")</f>
        <v/>
      </c>
      <c r="E11" s="18" t="str">
        <f>IFERROR(INDEX('Member Evaluation'!$DB$5:$DB$121,MATCH(LARGE('Member Evaluation'!$DE$5:$DE$121,10),'Member Evaluation'!$DE$5:$DE$121,0)),"")</f>
        <v/>
      </c>
    </row>
    <row r="12" spans="1:5" ht="15.75" customHeight="1" x14ac:dyDescent="0.25">
      <c r="A12" s="18">
        <v>11</v>
      </c>
      <c r="B12" s="18" t="str">
        <f>IFERROR(INDEX('Member Evaluation'!$A$5:$A$121,MATCH(LARGE('Member Evaluation'!$DE$5:$DE$121,11),'Member Evaluation'!$DE$5:$DE$121,0)),"")</f>
        <v/>
      </c>
      <c r="C12" s="18" t="str">
        <f t="shared" si="0"/>
        <v/>
      </c>
      <c r="D12" s="18" t="str">
        <f>IFERROR(INDEX('Member Evaluation'!$CZ$5:$CZ$121, MATCH(LARGE('Member Evaluation'!$DE$5:$DE$121, ROW(A11)), 'Member Evaluation'!$DE$5:$DE$121, 0)), "")</f>
        <v/>
      </c>
      <c r="E12" s="18" t="str">
        <f>IFERROR(INDEX('Member Evaluation'!$DB$5:$DB$121,MATCH(LARGE('Member Evaluation'!$DE$5:$DE$121,11),'Member Evaluation'!$DE$5:$DE$121,0)),"")</f>
        <v/>
      </c>
    </row>
    <row r="13" spans="1:5" ht="15.75" customHeight="1" x14ac:dyDescent="0.25">
      <c r="A13" s="18">
        <v>12</v>
      </c>
      <c r="B13" s="18" t="str">
        <f>IFERROR(INDEX('Member Evaluation'!$A$5:$A$121,MATCH(LARGE('Member Evaluation'!$DE$5:$DE$121,12),'Member Evaluation'!$DE$5:$DE$121,0)),"")</f>
        <v/>
      </c>
      <c r="C13" s="18" t="str">
        <f t="shared" si="0"/>
        <v/>
      </c>
      <c r="D13" s="18" t="str">
        <f>IFERROR(INDEX('Member Evaluation'!$CZ$5:$CZ$121, MATCH(LARGE('Member Evaluation'!$DE$5:$DE$121, ROW(A12)), 'Member Evaluation'!$DE$5:$DE$121, 0)), "")</f>
        <v/>
      </c>
      <c r="E13" s="18" t="str">
        <f>IFERROR(INDEX('Member Evaluation'!$DB$5:$DB$121,MATCH(LARGE('Member Evaluation'!$DE$5:$DE$121,12),'Member Evaluation'!$DE$5:$DE$121,0)),"")</f>
        <v/>
      </c>
    </row>
    <row r="14" spans="1:5" ht="15.75" customHeight="1" x14ac:dyDescent="0.25">
      <c r="A14" s="18">
        <v>13</v>
      </c>
      <c r="B14" s="18" t="str">
        <f>IFERROR(INDEX('Member Evaluation'!$A$5:$A$121,MATCH(LARGE('Member Evaluation'!$DE$5:$DE$121,13),'Member Evaluation'!$DE$5:$DE$121,0)),"")</f>
        <v/>
      </c>
      <c r="C14" s="18" t="str">
        <f t="shared" si="0"/>
        <v/>
      </c>
      <c r="D14" s="18" t="str">
        <f>IFERROR(INDEX('Member Evaluation'!$CZ$5:$CZ$121, MATCH(LARGE('Member Evaluation'!$DE$5:$DE$121, ROW(A13)), 'Member Evaluation'!$DE$5:$DE$121, 0)), "")</f>
        <v/>
      </c>
      <c r="E14" s="18" t="str">
        <f>IFERROR(INDEX('Member Evaluation'!$DB$5:$DB$121,MATCH(LARGE('Member Evaluation'!$DE$5:$DE$121,13),'Member Evaluation'!$DE$5:$DE$121,0)),"")</f>
        <v/>
      </c>
    </row>
    <row r="15" spans="1:5" ht="15.75" customHeight="1" x14ac:dyDescent="0.25">
      <c r="A15" s="18">
        <v>14</v>
      </c>
      <c r="B15" s="18" t="str">
        <f>IFERROR(INDEX('Member Evaluation'!$A$5:$A$121,MATCH(LARGE('Member Evaluation'!$DE$5:$DE$121,14),'Member Evaluation'!$DE$5:$DE$121,0)),"")</f>
        <v/>
      </c>
      <c r="C15" s="18" t="str">
        <f t="shared" si="0"/>
        <v/>
      </c>
      <c r="D15" s="18" t="str">
        <f>IFERROR(INDEX('Member Evaluation'!$CZ$5:$CZ$121, MATCH(LARGE('Member Evaluation'!$DE$5:$DE$121, ROW(A14)), 'Member Evaluation'!$DE$5:$DE$121, 0)), "")</f>
        <v/>
      </c>
      <c r="E15" s="18" t="str">
        <f>IFERROR(INDEX('Member Evaluation'!$DB$5:$DB$121,MATCH(LARGE('Member Evaluation'!$DE$5:$DE$121,14),'Member Evaluation'!$DE$5:$DE$121,0)),"")</f>
        <v/>
      </c>
    </row>
    <row r="16" spans="1:5" ht="15.75" customHeight="1" x14ac:dyDescent="0.25">
      <c r="A16" s="18">
        <v>15</v>
      </c>
      <c r="B16" s="18" t="str">
        <f>IFERROR(INDEX('Member Evaluation'!$A$5:$A$121,MATCH(LARGE('Member Evaluation'!$DE$5:$DE$121,15),'Member Evaluation'!$DE$5:$DE$121,0)),"")</f>
        <v/>
      </c>
      <c r="C16" s="18" t="str">
        <f t="shared" si="0"/>
        <v/>
      </c>
      <c r="D16" s="18" t="str">
        <f>IFERROR(INDEX('Member Evaluation'!$CZ$5:$CZ$121, MATCH(LARGE('Member Evaluation'!$DE$5:$DE$121, ROW(A15)), 'Member Evaluation'!$DE$5:$DE$121, 0)), "")</f>
        <v/>
      </c>
      <c r="E16" s="18" t="str">
        <f>IFERROR(INDEX('Member Evaluation'!$DB$5:$DB$121,MATCH(LARGE('Member Evaluation'!$DE$5:$DE$121,15),'Member Evaluation'!$DE$5:$DE$121,0)),"")</f>
        <v/>
      </c>
    </row>
    <row r="17" spans="1:5" ht="15.75" customHeight="1" x14ac:dyDescent="0.25">
      <c r="A17" s="18">
        <v>16</v>
      </c>
      <c r="B17" s="18" t="str">
        <f>IFERROR(INDEX('Member Evaluation'!$A$5:$A$121,MATCH(LARGE('Member Evaluation'!$DE$5:$DE$121,16),'Member Evaluation'!$DE$5:$DE$121,0)),"")</f>
        <v/>
      </c>
      <c r="C17" s="18" t="str">
        <f t="shared" si="0"/>
        <v/>
      </c>
      <c r="D17" s="18" t="str">
        <f>IFERROR(INDEX('Member Evaluation'!$CZ$5:$CZ$121, MATCH(LARGE('Member Evaluation'!$DE$5:$DE$121, ROW(A16)), 'Member Evaluation'!$DE$5:$DE$121, 0)), "")</f>
        <v/>
      </c>
      <c r="E17" s="18" t="str">
        <f>IFERROR(INDEX('Member Evaluation'!$DB$5:$DB$121,MATCH(LARGE('Member Evaluation'!$DE$5:$DE$121,16),'Member Evaluation'!$DE$5:$DE$121,0)),"")</f>
        <v/>
      </c>
    </row>
    <row r="18" spans="1:5" ht="15.75" customHeight="1" x14ac:dyDescent="0.25">
      <c r="A18" s="18">
        <v>17</v>
      </c>
      <c r="B18" s="18" t="str">
        <f>IFERROR(INDEX('Member Evaluation'!$A$5:$A$121,MATCH(LARGE('Member Evaluation'!$DE$5:$DE$121,17),'Member Evaluation'!$DE$5:$DE$121,0)),"")</f>
        <v/>
      </c>
      <c r="C18" s="18" t="str">
        <f t="shared" si="0"/>
        <v/>
      </c>
      <c r="D18" s="18" t="str">
        <f>IFERROR(INDEX('Member Evaluation'!$CZ$5:$CZ$121, MATCH(LARGE('Member Evaluation'!$DE$5:$DE$121, ROW(A17)), 'Member Evaluation'!$DE$5:$DE$121, 0)), "")</f>
        <v/>
      </c>
      <c r="E18" s="18" t="str">
        <f>IFERROR(INDEX('Member Evaluation'!$DB$5:$DB$121,MATCH(LARGE('Member Evaluation'!$DE$5:$DE$121,17),'Member Evaluation'!$DE$5:$DE$121,0)),"")</f>
        <v/>
      </c>
    </row>
    <row r="19" spans="1:5" ht="15.75" customHeight="1" x14ac:dyDescent="0.25">
      <c r="A19" s="18">
        <v>18</v>
      </c>
      <c r="B19" s="18" t="str">
        <f>IFERROR(INDEX('Member Evaluation'!$A$5:$A$121,MATCH(LARGE('Member Evaluation'!$DE$5:$DE$121,18),'Member Evaluation'!$DE$5:$DE$121,0)),"")</f>
        <v/>
      </c>
      <c r="C19" s="18" t="str">
        <f t="shared" si="0"/>
        <v/>
      </c>
      <c r="D19" s="18" t="str">
        <f>IFERROR(INDEX('Member Evaluation'!$CZ$5:$CZ$121, MATCH(LARGE('Member Evaluation'!$DE$5:$DE$121, ROW(A18)), 'Member Evaluation'!$DE$5:$DE$121, 0)), "")</f>
        <v/>
      </c>
      <c r="E19" s="18" t="str">
        <f>IFERROR(INDEX('Member Evaluation'!$DB$5:$DB$121,MATCH(LARGE('Member Evaluation'!$DE$5:$DE$121,18),'Member Evaluation'!$DE$5:$DE$121,0)),"")</f>
        <v/>
      </c>
    </row>
    <row r="20" spans="1:5" ht="15.75" customHeight="1" x14ac:dyDescent="0.25">
      <c r="A20" s="18">
        <v>19</v>
      </c>
      <c r="B20" s="18" t="str">
        <f>IFERROR(INDEX('Member Evaluation'!$A$5:$A$121,MATCH(LARGE('Member Evaluation'!$DE$5:$DE$121,19),'Member Evaluation'!$DE$5:$DE$121,0)),"")</f>
        <v/>
      </c>
      <c r="C20" s="18" t="str">
        <f t="shared" si="0"/>
        <v/>
      </c>
      <c r="D20" s="18" t="str">
        <f>IFERROR(INDEX('Member Evaluation'!$CZ$5:$CZ$121, MATCH(LARGE('Member Evaluation'!$DE$5:$DE$121, ROW(A19)), 'Member Evaluation'!$DE$5:$DE$121, 0)), "")</f>
        <v/>
      </c>
      <c r="E20" s="18" t="str">
        <f>IFERROR(INDEX('Member Evaluation'!$DB$5:$DB$121,MATCH(LARGE('Member Evaluation'!$DE$5:$DE$121,19),'Member Evaluation'!$DE$5:$DE$121,0)),"")</f>
        <v/>
      </c>
    </row>
    <row r="21" spans="1:5" ht="15.75" customHeight="1" x14ac:dyDescent="0.25">
      <c r="A21" s="18">
        <v>20</v>
      </c>
      <c r="B21" s="18" t="str">
        <f>IFERROR(INDEX('Member Evaluation'!$A$5:$A$121,MATCH(LARGE('Member Evaluation'!$DE$5:$DE$121,20),'Member Evaluation'!$DE$5:$DE$121,0)),"")</f>
        <v/>
      </c>
      <c r="C21" s="18" t="str">
        <f t="shared" si="0"/>
        <v/>
      </c>
      <c r="D21" s="18" t="str">
        <f>IFERROR(INDEX('Member Evaluation'!$CZ$5:$CZ$121, MATCH(LARGE('Member Evaluation'!$DE$5:$DE$121, ROW(A20)), 'Member Evaluation'!$DE$5:$DE$121, 0)), "")</f>
        <v/>
      </c>
      <c r="E21" s="18" t="str">
        <f>IFERROR(INDEX('Member Evaluation'!$DB$5:$DB$121,MATCH(LARGE('Member Evaluation'!$DE$5:$DE$121,20),'Member Evaluation'!$DE$5:$DE$121,0)),"")</f>
        <v/>
      </c>
    </row>
    <row r="22" spans="1:5" ht="15.75" customHeight="1" x14ac:dyDescent="0.25">
      <c r="A22" s="18">
        <v>21</v>
      </c>
      <c r="B22" s="18" t="str">
        <f>IFERROR(INDEX('Member Evaluation'!$A$5:$A$121,MATCH(LARGE('Member Evaluation'!$DE$5:$DE$121,21),'Member Evaluation'!$DE$5:$DE$121,0)),"")</f>
        <v/>
      </c>
      <c r="C22" s="18" t="str">
        <f t="shared" si="0"/>
        <v/>
      </c>
      <c r="D22" s="18" t="str">
        <f>IFERROR(INDEX('Member Evaluation'!$CZ$5:$CZ$121, MATCH(LARGE('Member Evaluation'!$DE$5:$DE$121, ROW(A21)), 'Member Evaluation'!$DE$5:$DE$121, 0)), "")</f>
        <v/>
      </c>
      <c r="E22" s="18" t="str">
        <f>IFERROR(INDEX('Member Evaluation'!$DB$5:$DB$121,MATCH(LARGE('Member Evaluation'!$DE$5:$DE$121,21),'Member Evaluation'!$DE$5:$DE$121,0)),"")</f>
        <v/>
      </c>
    </row>
    <row r="23" spans="1:5" ht="15.75" customHeight="1" x14ac:dyDescent="0.25">
      <c r="A23" s="18">
        <v>22</v>
      </c>
      <c r="B23" s="18" t="str">
        <f>IFERROR(INDEX('Member Evaluation'!$A$5:$A$121,MATCH(LARGE('Member Evaluation'!$DE$5:$DE$121,22),'Member Evaluation'!$DE$5:$DE$121,0)),"")</f>
        <v/>
      </c>
      <c r="C23" s="18" t="str">
        <f t="shared" si="0"/>
        <v/>
      </c>
      <c r="D23" s="18" t="str">
        <f>IFERROR(INDEX('Member Evaluation'!$CZ$5:$CZ$121, MATCH(LARGE('Member Evaluation'!$DE$5:$DE$121, ROW(A22)), 'Member Evaluation'!$DE$5:$DE$121, 0)), "")</f>
        <v/>
      </c>
      <c r="E23" s="18" t="str">
        <f>IFERROR(INDEX('Member Evaluation'!$DB$5:$DB$121,MATCH(LARGE('Member Evaluation'!$DE$5:$DE$121,22),'Member Evaluation'!$DE$5:$DE$121,0)),"")</f>
        <v/>
      </c>
    </row>
    <row r="24" spans="1:5" ht="15.75" customHeight="1" x14ac:dyDescent="0.25">
      <c r="A24" s="18">
        <v>23</v>
      </c>
      <c r="B24" s="18" t="str">
        <f>IFERROR(INDEX('Member Evaluation'!$A$5:$A$121,MATCH(LARGE('Member Evaluation'!$DE$5:$DE$121,23),'Member Evaluation'!$DE$5:$DE$121,0)),"")</f>
        <v/>
      </c>
      <c r="C24" s="18" t="str">
        <f t="shared" si="0"/>
        <v/>
      </c>
      <c r="D24" s="18" t="str">
        <f>IFERROR(INDEX('Member Evaluation'!$CZ$5:$CZ$121, MATCH(LARGE('Member Evaluation'!$DE$5:$DE$121, ROW(A23)), 'Member Evaluation'!$DE$5:$DE$121, 0)), "")</f>
        <v/>
      </c>
      <c r="E24" s="18" t="str">
        <f>IFERROR(INDEX('Member Evaluation'!$DB$5:$DB$121,MATCH(LARGE('Member Evaluation'!$DE$5:$DE$121,23),'Member Evaluation'!$DE$5:$DE$121,0)),"")</f>
        <v/>
      </c>
    </row>
    <row r="25" spans="1:5" ht="15.75" customHeight="1" x14ac:dyDescent="0.25">
      <c r="A25" s="18">
        <v>24</v>
      </c>
      <c r="B25" s="18" t="str">
        <f>IFERROR(INDEX('Member Evaluation'!$A$5:$A$121,MATCH(LARGE('Member Evaluation'!$DE$5:$DE$121,24),'Member Evaluation'!$DE$5:$DE$121,0)),"")</f>
        <v/>
      </c>
      <c r="C25" s="18" t="str">
        <f t="shared" si="0"/>
        <v/>
      </c>
      <c r="D25" s="18" t="str">
        <f>IFERROR(INDEX('Member Evaluation'!$CZ$5:$CZ$121, MATCH(LARGE('Member Evaluation'!$DE$5:$DE$121, ROW(A24)), 'Member Evaluation'!$DE$5:$DE$121, 0)), "")</f>
        <v/>
      </c>
      <c r="E25" s="18" t="str">
        <f>IFERROR(INDEX('Member Evaluation'!$DB$5:$DB$121,MATCH(LARGE('Member Evaluation'!$DE$5:$DE$121,24),'Member Evaluation'!$DE$5:$DE$121,0)),"")</f>
        <v/>
      </c>
    </row>
    <row r="26" spans="1:5" ht="15.75" customHeight="1" x14ac:dyDescent="0.25">
      <c r="A26" s="18">
        <v>25</v>
      </c>
      <c r="B26" s="18" t="str">
        <f>IFERROR(INDEX('Member Evaluation'!$A$5:$A$121,MATCH(LARGE('Member Evaluation'!$DE$5:$DE$121,25),'Member Evaluation'!$DE$5:$DE$121,0)),"")</f>
        <v/>
      </c>
      <c r="C26" s="18" t="str">
        <f t="shared" si="0"/>
        <v/>
      </c>
      <c r="D26" s="18" t="str">
        <f>IFERROR(INDEX('Member Evaluation'!$CZ$5:$CZ$121, MATCH(LARGE('Member Evaluation'!$DE$5:$DE$121, ROW(A25)), 'Member Evaluation'!$DE$5:$DE$121, 0)), "")</f>
        <v/>
      </c>
      <c r="E26" s="18" t="str">
        <f>IFERROR(INDEX('Member Evaluation'!$DB$5:$DB$121,MATCH(LARGE('Member Evaluation'!$DE$5:$DE$121,25),'Member Evaluation'!$DE$5:$DE$121,0)),"")</f>
        <v/>
      </c>
    </row>
    <row r="27" spans="1:5" ht="15.75" customHeight="1" x14ac:dyDescent="0.25">
      <c r="A27" s="18">
        <v>26</v>
      </c>
      <c r="B27" s="18" t="str">
        <f>IFERROR(INDEX('Member Evaluation'!$A$5:$A$121,MATCH(LARGE('Member Evaluation'!$DE$5:$DE$121,26),'Member Evaluation'!$DE$5:$DE$121,0)),"")</f>
        <v/>
      </c>
      <c r="C27" s="18" t="str">
        <f t="shared" si="0"/>
        <v/>
      </c>
      <c r="D27" s="18" t="str">
        <f>IFERROR(INDEX('Member Evaluation'!$CZ$5:$CZ$121, MATCH(LARGE('Member Evaluation'!$DE$5:$DE$121, ROW(A26)), 'Member Evaluation'!$DE$5:$DE$121, 0)), "")</f>
        <v/>
      </c>
      <c r="E27" s="18" t="str">
        <f>IFERROR(INDEX('Member Evaluation'!$DB$5:$DB$121,MATCH(LARGE('Member Evaluation'!$DE$5:$DE$121,26),'Member Evaluation'!$DE$5:$DE$121,0)),"")</f>
        <v/>
      </c>
    </row>
    <row r="28" spans="1:5" ht="15.75" customHeight="1" x14ac:dyDescent="0.25">
      <c r="A28" s="18">
        <v>27</v>
      </c>
      <c r="B28" s="18" t="str">
        <f>IFERROR(INDEX('Member Evaluation'!$A$5:$A$121,MATCH(LARGE('Member Evaluation'!$DE$5:$DE$121,27),'Member Evaluation'!$DE$5:$DE$121,0)),"")</f>
        <v/>
      </c>
      <c r="C28" s="18" t="str">
        <f t="shared" si="0"/>
        <v/>
      </c>
      <c r="D28" s="18" t="str">
        <f>IFERROR(INDEX('Member Evaluation'!$CZ$5:$CZ$121, MATCH(LARGE('Member Evaluation'!$DE$5:$DE$121, ROW(A27)), 'Member Evaluation'!$DE$5:$DE$121, 0)), "")</f>
        <v/>
      </c>
      <c r="E28" s="18" t="str">
        <f>IFERROR(INDEX('Member Evaluation'!$DB$5:$DB$121,MATCH(LARGE('Member Evaluation'!$DE$5:$DE$121,27),'Member Evaluation'!$DE$5:$DE$121,0)),"")</f>
        <v/>
      </c>
    </row>
    <row r="29" spans="1:5" ht="15.75" customHeight="1" x14ac:dyDescent="0.25">
      <c r="A29" s="18">
        <v>28</v>
      </c>
      <c r="B29" s="18" t="str">
        <f>IFERROR(INDEX('Member Evaluation'!$A$5:$A$121,MATCH(LARGE('Member Evaluation'!$DE$5:$DE$121,28),'Member Evaluation'!$DE$5:$DE$121,0)),"")</f>
        <v/>
      </c>
      <c r="C29" s="18" t="str">
        <f t="shared" si="0"/>
        <v/>
      </c>
      <c r="D29" s="18" t="str">
        <f>IFERROR(INDEX('Member Evaluation'!$CZ$5:$CZ$121, MATCH(LARGE('Member Evaluation'!$DE$5:$DE$121, ROW(A28)), 'Member Evaluation'!$DE$5:$DE$121, 0)), "")</f>
        <v/>
      </c>
      <c r="E29" s="18" t="str">
        <f>IFERROR(INDEX('Member Evaluation'!$DB$5:$DB$121,MATCH(LARGE('Member Evaluation'!$DE$5:$DE$121,28),'Member Evaluation'!$DE$5:$DE$121,0)),"")</f>
        <v/>
      </c>
    </row>
    <row r="30" spans="1:5" ht="15.75" customHeight="1" x14ac:dyDescent="0.25">
      <c r="A30" s="18">
        <v>29</v>
      </c>
      <c r="B30" s="18" t="str">
        <f>IFERROR(INDEX('Member Evaluation'!$A$5:$A$121,MATCH(LARGE('Member Evaluation'!$DE$5:$DE$121,29),'Member Evaluation'!$DE$5:$DE$121,0)),"")</f>
        <v/>
      </c>
      <c r="C30" s="18" t="str">
        <f t="shared" si="0"/>
        <v/>
      </c>
      <c r="D30" s="18" t="str">
        <f>IFERROR(INDEX('Member Evaluation'!$CZ$5:$CZ$121, MATCH(LARGE('Member Evaluation'!$DE$5:$DE$121, ROW(A29)), 'Member Evaluation'!$DE$5:$DE$121, 0)), "")</f>
        <v/>
      </c>
      <c r="E30" s="18" t="str">
        <f>IFERROR(INDEX('Member Evaluation'!$DB$5:$DB$121,MATCH(LARGE('Member Evaluation'!$DE$5:$DE$121,29),'Member Evaluation'!$DE$5:$DE$121,0)),"")</f>
        <v/>
      </c>
    </row>
    <row r="31" spans="1:5" ht="15.75" customHeight="1" x14ac:dyDescent="0.25">
      <c r="A31" s="18">
        <v>30</v>
      </c>
      <c r="B31" s="18" t="str">
        <f>IFERROR(INDEX('Member Evaluation'!$A$5:$A$121,MATCH(LARGE('Member Evaluation'!$DE$5:$DE$121,30),'Member Evaluation'!$DE$5:$DE$121,0)),"")</f>
        <v/>
      </c>
      <c r="C31" s="18" t="str">
        <f t="shared" si="0"/>
        <v/>
      </c>
      <c r="D31" s="18" t="str">
        <f>IFERROR(INDEX('Member Evaluation'!$CZ$5:$CZ$121, MATCH(LARGE('Member Evaluation'!$DE$5:$DE$121, ROW(A30)), 'Member Evaluation'!$DE$5:$DE$121, 0)), "")</f>
        <v/>
      </c>
      <c r="E31" s="18" t="str">
        <f>IFERROR(INDEX('Member Evaluation'!$DB$5:$DB$121,MATCH(LARGE('Member Evaluation'!$DE$5:$DE$121,30),'Member Evaluation'!$DE$5:$DE$121,0)),"")</f>
        <v/>
      </c>
    </row>
    <row r="32" spans="1:5" ht="15.75" customHeight="1" x14ac:dyDescent="0.25">
      <c r="A32" s="18">
        <v>31</v>
      </c>
      <c r="B32" s="18" t="str">
        <f>IFERROR(INDEX('Member Evaluation'!$A$5:$A$121,MATCH(LARGE('Member Evaluation'!$DE$5:$DE$121,31),'Member Evaluation'!$DE$5:$DE$121,0)),"")</f>
        <v/>
      </c>
      <c r="C32" s="18" t="str">
        <f t="shared" si="0"/>
        <v/>
      </c>
      <c r="D32" s="18" t="str">
        <f>IFERROR(INDEX('Member Evaluation'!$CZ$5:$CZ$121, MATCH(LARGE('Member Evaluation'!$DE$5:$DE$121, ROW(A31)), 'Member Evaluation'!$DE$5:$DE$121, 0)), "")</f>
        <v/>
      </c>
      <c r="E32" s="18" t="str">
        <f>IFERROR(INDEX('Member Evaluation'!$DB$5:$DB$121,MATCH(LARGE('Member Evaluation'!$DE$5:$DE$121,31),'Member Evaluation'!$DE$5:$DE$121,0)),"")</f>
        <v/>
      </c>
    </row>
    <row r="33" spans="1:5" ht="15.75" customHeight="1" x14ac:dyDescent="0.25">
      <c r="A33" s="18">
        <v>32</v>
      </c>
      <c r="B33" s="18" t="str">
        <f>IFERROR(INDEX('Member Evaluation'!$A$5:$A$121,MATCH(LARGE('Member Evaluation'!$DE$5:$DE$121,32),'Member Evaluation'!$DE$5:$DE$121,0)),"")</f>
        <v/>
      </c>
      <c r="C33" s="18" t="str">
        <f t="shared" si="0"/>
        <v/>
      </c>
      <c r="D33" s="18" t="str">
        <f>IFERROR(INDEX('Member Evaluation'!$CZ$5:$CZ$121, MATCH(LARGE('Member Evaluation'!$DE$5:$DE$121, ROW(A32)), 'Member Evaluation'!$DE$5:$DE$121, 0)), "")</f>
        <v/>
      </c>
      <c r="E33" s="18" t="str">
        <f>IFERROR(INDEX('Member Evaluation'!$DB$5:$DB$121,MATCH(LARGE('Member Evaluation'!$DE$5:$DE$121,32),'Member Evaluation'!$DE$5:$DE$121,0)),"")</f>
        <v/>
      </c>
    </row>
    <row r="34" spans="1:5" ht="15.75" customHeight="1" x14ac:dyDescent="0.25">
      <c r="A34" s="18">
        <v>33</v>
      </c>
      <c r="B34" s="18" t="str">
        <f>IFERROR(INDEX('Member Evaluation'!$A$5:$A$121,MATCH(LARGE('Member Evaluation'!$DE$5:$DE$121,33),'Member Evaluation'!$DE$5:$DE$121,0)),"")</f>
        <v/>
      </c>
      <c r="C34" s="18" t="str">
        <f t="shared" si="0"/>
        <v/>
      </c>
      <c r="D34" s="18" t="str">
        <f>IFERROR(INDEX('Member Evaluation'!$CZ$5:$CZ$121, MATCH(LARGE('Member Evaluation'!$DE$5:$DE$121, ROW(A33)), 'Member Evaluation'!$DE$5:$DE$121, 0)), "")</f>
        <v/>
      </c>
      <c r="E34" s="18" t="str">
        <f>IFERROR(INDEX('Member Evaluation'!$DB$5:$DB$121,MATCH(LARGE('Member Evaluation'!$DE$5:$DE$121,33),'Member Evaluation'!$DE$5:$DE$121,0)),"")</f>
        <v/>
      </c>
    </row>
    <row r="35" spans="1:5" ht="15.75" customHeight="1" x14ac:dyDescent="0.25">
      <c r="A35" s="18">
        <v>34</v>
      </c>
      <c r="B35" s="18" t="str">
        <f>IFERROR(INDEX('Member Evaluation'!$A$5:$A$121,MATCH(LARGE('Member Evaluation'!$DE$5:$DE$121,34),'Member Evaluation'!$DE$5:$DE$121,0)),"")</f>
        <v/>
      </c>
      <c r="C35" s="18" t="str">
        <f t="shared" si="0"/>
        <v/>
      </c>
      <c r="D35" s="18" t="str">
        <f>IFERROR(INDEX('Member Evaluation'!$CZ$5:$CZ$121, MATCH(LARGE('Member Evaluation'!$DE$5:$DE$121, ROW(A34)), 'Member Evaluation'!$DE$5:$DE$121, 0)), "")</f>
        <v/>
      </c>
      <c r="E35" s="18" t="str">
        <f>IFERROR(INDEX('Member Evaluation'!$DB$5:$DB$121,MATCH(LARGE('Member Evaluation'!$DE$5:$DE$121,34),'Member Evaluation'!$DE$5:$DE$121,0)),"")</f>
        <v/>
      </c>
    </row>
    <row r="36" spans="1:5" ht="15.75" customHeight="1" x14ac:dyDescent="0.25">
      <c r="A36" s="18">
        <v>35</v>
      </c>
      <c r="B36" s="18" t="str">
        <f>IFERROR(INDEX('Member Evaluation'!$A$5:$A$121,MATCH(LARGE('Member Evaluation'!$DE$5:$DE$121,35),'Member Evaluation'!$DE$5:$DE$121,0)),"")</f>
        <v/>
      </c>
      <c r="C36" s="18" t="str">
        <f t="shared" si="0"/>
        <v/>
      </c>
      <c r="D36" s="18" t="str">
        <f>IFERROR(INDEX('Member Evaluation'!$CZ$5:$CZ$121, MATCH(LARGE('Member Evaluation'!$DE$5:$DE$121, ROW(A35)), 'Member Evaluation'!$DE$5:$DE$121, 0)), "")</f>
        <v/>
      </c>
      <c r="E36" s="18" t="str">
        <f>IFERROR(INDEX('Member Evaluation'!$DB$5:$DB$121,MATCH(LARGE('Member Evaluation'!$DE$5:$DE$121,35),'Member Evaluation'!$DE$5:$DE$121,0)),"")</f>
        <v/>
      </c>
    </row>
    <row r="37" spans="1:5" ht="15.75" customHeight="1" x14ac:dyDescent="0.25">
      <c r="A37" s="18">
        <v>36</v>
      </c>
      <c r="B37" s="18" t="str">
        <f>IFERROR(INDEX('Member Evaluation'!$A$5:$A$121,MATCH(LARGE('Member Evaluation'!$DE$5:$DE$121,36),'Member Evaluation'!$DE$5:$DE$121,0)),"")</f>
        <v/>
      </c>
      <c r="C37" s="18" t="str">
        <f t="shared" si="0"/>
        <v/>
      </c>
      <c r="D37" s="18" t="str">
        <f>IFERROR(INDEX('Member Evaluation'!$CZ$5:$CZ$121, MATCH(LARGE('Member Evaluation'!$DE$5:$DE$121, ROW(A36)), 'Member Evaluation'!$DE$5:$DE$121, 0)), "")</f>
        <v/>
      </c>
      <c r="E37" s="18" t="str">
        <f>IFERROR(INDEX('Member Evaluation'!$DB$5:$DB$121,MATCH(LARGE('Member Evaluation'!$DE$5:$DE$121,36),'Member Evaluation'!$DE$5:$DE$121,0)),"")</f>
        <v/>
      </c>
    </row>
    <row r="38" spans="1:5" ht="15.75" customHeight="1" x14ac:dyDescent="0.25">
      <c r="A38" s="18">
        <v>37</v>
      </c>
      <c r="B38" s="18" t="str">
        <f>IFERROR(INDEX('Member Evaluation'!$A$5:$A$121,MATCH(LARGE('Member Evaluation'!$DE$5:$DE$121,37),'Member Evaluation'!$DE$5:$DE$121,0)),"")</f>
        <v/>
      </c>
      <c r="C38" s="18" t="str">
        <f t="shared" si="0"/>
        <v/>
      </c>
      <c r="D38" s="18" t="str">
        <f>IFERROR(INDEX('Member Evaluation'!$CZ$5:$CZ$121, MATCH(LARGE('Member Evaluation'!$DE$5:$DE$121, ROW(A37)), 'Member Evaluation'!$DE$5:$DE$121, 0)), "")</f>
        <v/>
      </c>
      <c r="E38" s="18" t="str">
        <f>IFERROR(INDEX('Member Evaluation'!$DB$5:$DB$121,MATCH(LARGE('Member Evaluation'!$DE$5:$DE$121,37),'Member Evaluation'!$DE$5:$DE$121,0)),"")</f>
        <v/>
      </c>
    </row>
    <row r="39" spans="1:5" ht="15.75" customHeight="1" x14ac:dyDescent="0.25">
      <c r="A39" s="18">
        <v>38</v>
      </c>
      <c r="B39" s="18" t="str">
        <f>IFERROR(INDEX('Member Evaluation'!$A$5:$A$121,MATCH(LARGE('Member Evaluation'!$DE$5:$DE$121,38),'Member Evaluation'!$DE$5:$DE$121,0)),"")</f>
        <v/>
      </c>
      <c r="C39" s="18" t="str">
        <f t="shared" si="0"/>
        <v/>
      </c>
      <c r="D39" s="18" t="str">
        <f>IFERROR(INDEX('Member Evaluation'!$CZ$5:$CZ$121, MATCH(LARGE('Member Evaluation'!$DE$5:$DE$121, ROW(A38)), 'Member Evaluation'!$DE$5:$DE$121, 0)), "")</f>
        <v/>
      </c>
      <c r="E39" s="18" t="str">
        <f>IFERROR(INDEX('Member Evaluation'!$DB$5:$DB$121,MATCH(LARGE('Member Evaluation'!$DE$5:$DE$121,38),'Member Evaluation'!$DE$5:$DE$121,0)),"")</f>
        <v/>
      </c>
    </row>
    <row r="40" spans="1:5" ht="15.75" customHeight="1" x14ac:dyDescent="0.25">
      <c r="A40" s="18">
        <v>39</v>
      </c>
      <c r="B40" s="18" t="str">
        <f>IFERROR(INDEX('Member Evaluation'!$A$5:$A$121,MATCH(LARGE('Member Evaluation'!$DE$5:$DE$121,39),'Member Evaluation'!$DE$5:$DE$121,0)),"")</f>
        <v/>
      </c>
      <c r="C40" s="18" t="str">
        <f t="shared" si="0"/>
        <v/>
      </c>
      <c r="D40" s="18" t="str">
        <f>IFERROR(INDEX('Member Evaluation'!$CZ$5:$CZ$121, MATCH(LARGE('Member Evaluation'!$DE$5:$DE$121, ROW(A39)), 'Member Evaluation'!$DE$5:$DE$121, 0)), "")</f>
        <v/>
      </c>
      <c r="E40" s="18" t="str">
        <f>IFERROR(INDEX('Member Evaluation'!$DB$5:$DB$121,MATCH(LARGE('Member Evaluation'!$DE$5:$DE$121,39),'Member Evaluation'!$DE$5:$DE$121,0)),"")</f>
        <v/>
      </c>
    </row>
    <row r="41" spans="1:5" ht="15.75" customHeight="1" x14ac:dyDescent="0.25">
      <c r="A41" s="18">
        <v>40</v>
      </c>
      <c r="B41" s="18" t="str">
        <f>IFERROR(INDEX('Member Evaluation'!$A$5:$A$121,MATCH(LARGE('Member Evaluation'!$DE$5:$DE$121,40),'Member Evaluation'!$DE$5:$DE$121,0)),"")</f>
        <v/>
      </c>
      <c r="C41" s="18" t="str">
        <f t="shared" si="0"/>
        <v/>
      </c>
      <c r="D41" s="18" t="str">
        <f>IFERROR(INDEX('Member Evaluation'!$CZ$5:$CZ$121, MATCH(LARGE('Member Evaluation'!$DE$5:$DE$121, ROW(A40)), 'Member Evaluation'!$DE$5:$DE$121, 0)), "")</f>
        <v/>
      </c>
      <c r="E41" s="18" t="str">
        <f>IFERROR(INDEX('Member Evaluation'!$DB$5:$DB$121,MATCH(LARGE('Member Evaluation'!$DE$5:$DE$121,40),'Member Evaluation'!$DE$5:$DE$121,0)),"")</f>
        <v/>
      </c>
    </row>
    <row r="42" spans="1:5" ht="15.75" customHeight="1" x14ac:dyDescent="0.25">
      <c r="A42" s="18">
        <v>41</v>
      </c>
      <c r="B42" s="18" t="str">
        <f>IFERROR(INDEX('Member Evaluation'!$A$5:$A$121,MATCH(LARGE('Member Evaluation'!$DE$5:$DE$121,41),'Member Evaluation'!$DE$5:$DE$121,0)),"")</f>
        <v/>
      </c>
      <c r="C42" s="18" t="str">
        <f t="shared" si="0"/>
        <v/>
      </c>
      <c r="D42" s="18" t="str">
        <f>IFERROR(INDEX('Member Evaluation'!$CZ$5:$CZ$121, MATCH(LARGE('Member Evaluation'!$DE$5:$DE$121, ROW(A41)), 'Member Evaluation'!$DE$5:$DE$121, 0)), "")</f>
        <v/>
      </c>
      <c r="E42" s="18" t="str">
        <f>IFERROR(INDEX('Member Evaluation'!$DB$5:$DB$121,MATCH(LARGE('Member Evaluation'!$DE$5:$DE$121,41),'Member Evaluation'!$DE$5:$DE$121,0)),"")</f>
        <v/>
      </c>
    </row>
    <row r="43" spans="1:5" ht="15.75" customHeight="1" x14ac:dyDescent="0.25">
      <c r="A43" s="18">
        <v>42</v>
      </c>
      <c r="B43" s="18" t="str">
        <f>IFERROR(INDEX('Member Evaluation'!$A$5:$A$121,MATCH(LARGE('Member Evaluation'!$DE$5:$DE$121,42),'Member Evaluation'!$DE$5:$DE$121,0)),"")</f>
        <v/>
      </c>
      <c r="C43" s="18" t="str">
        <f t="shared" si="0"/>
        <v/>
      </c>
      <c r="D43" s="18" t="str">
        <f>IFERROR(INDEX('Member Evaluation'!$CZ$5:$CZ$121, MATCH(LARGE('Member Evaluation'!$DE$5:$DE$121, ROW(A42)), 'Member Evaluation'!$DE$5:$DE$121, 0)), "")</f>
        <v/>
      </c>
      <c r="E43" s="18" t="str">
        <f>IFERROR(INDEX('Member Evaluation'!$DB$5:$DB$121,MATCH(LARGE('Member Evaluation'!$DE$5:$DE$121,42),'Member Evaluation'!$DE$5:$DE$121,0)),"")</f>
        <v/>
      </c>
    </row>
    <row r="44" spans="1:5" ht="15.75" customHeight="1" x14ac:dyDescent="0.25">
      <c r="A44" s="18">
        <v>43</v>
      </c>
      <c r="B44" s="18" t="str">
        <f>IFERROR(INDEX('Member Evaluation'!$A$5:$A$121,MATCH(LARGE('Member Evaluation'!$DE$5:$DE$121,43),'Member Evaluation'!$DE$5:$DE$121,0)),"")</f>
        <v/>
      </c>
      <c r="C44" s="18" t="str">
        <f t="shared" si="0"/>
        <v/>
      </c>
      <c r="D44" s="18" t="str">
        <f>IFERROR(INDEX('Member Evaluation'!$CZ$5:$CZ$121, MATCH(LARGE('Member Evaluation'!$DE$5:$DE$121, ROW(A43)), 'Member Evaluation'!$DE$5:$DE$121, 0)), "")</f>
        <v/>
      </c>
      <c r="E44" s="18" t="str">
        <f>IFERROR(INDEX('Member Evaluation'!$DB$5:$DB$121,MATCH(LARGE('Member Evaluation'!$DE$5:$DE$121,43),'Member Evaluation'!$DE$5:$DE$121,0)),"")</f>
        <v/>
      </c>
    </row>
    <row r="45" spans="1:5" ht="15.75" customHeight="1" x14ac:dyDescent="0.25">
      <c r="A45" s="18">
        <v>44</v>
      </c>
      <c r="B45" s="18" t="str">
        <f>IFERROR(INDEX('Member Evaluation'!$A$5:$A$121,MATCH(LARGE('Member Evaluation'!$DE$5:$DE$121,44),'Member Evaluation'!$DE$5:$DE$121,0)),"")</f>
        <v/>
      </c>
      <c r="C45" s="18" t="str">
        <f t="shared" si="0"/>
        <v/>
      </c>
      <c r="D45" s="18" t="str">
        <f>IFERROR(INDEX('Member Evaluation'!$CZ$5:$CZ$121, MATCH(LARGE('Member Evaluation'!$DE$5:$DE$121, ROW(A44)), 'Member Evaluation'!$DE$5:$DE$121, 0)), "")</f>
        <v/>
      </c>
      <c r="E45" s="18" t="str">
        <f>IFERROR(INDEX('Member Evaluation'!$DB$5:$DB$121,MATCH(LARGE('Member Evaluation'!$DE$5:$DE$121,44),'Member Evaluation'!$DE$5:$DE$121,0)),"")</f>
        <v/>
      </c>
    </row>
    <row r="46" spans="1:5" ht="15.75" customHeight="1" x14ac:dyDescent="0.25">
      <c r="A46" s="18">
        <v>45</v>
      </c>
      <c r="B46" s="18" t="str">
        <f>IFERROR(INDEX('Member Evaluation'!$A$5:$A$121,MATCH(LARGE('Member Evaluation'!$DE$5:$DE$121,45),'Member Evaluation'!$DE$5:$DE$121,0)),"")</f>
        <v/>
      </c>
      <c r="C46" s="18" t="str">
        <f t="shared" si="0"/>
        <v/>
      </c>
      <c r="D46" s="18" t="str">
        <f>IFERROR(INDEX('Member Evaluation'!$CZ$5:$CZ$121, MATCH(LARGE('Member Evaluation'!$DE$5:$DE$121, ROW(A45)), 'Member Evaluation'!$DE$5:$DE$121, 0)), "")</f>
        <v/>
      </c>
      <c r="E46" s="18" t="str">
        <f>IFERROR(INDEX('Member Evaluation'!$DB$5:$DB$121,MATCH(LARGE('Member Evaluation'!$DE$5:$DE$121,45),'Member Evaluation'!$DE$5:$DE$121,0)),"")</f>
        <v/>
      </c>
    </row>
    <row r="47" spans="1:5" ht="15.75" customHeight="1" x14ac:dyDescent="0.25">
      <c r="A47" s="18">
        <v>46</v>
      </c>
      <c r="B47" s="18" t="str">
        <f>IFERROR(INDEX('Member Evaluation'!$A$5:$A$121,MATCH(LARGE('Member Evaluation'!$DE$5:$DE$121,46),'Member Evaluation'!$DE$5:$DE$121,0)),"")</f>
        <v/>
      </c>
      <c r="C47" s="18" t="str">
        <f t="shared" si="0"/>
        <v/>
      </c>
      <c r="D47" s="18" t="str">
        <f>IFERROR(INDEX('Member Evaluation'!$CZ$5:$CZ$121, MATCH(LARGE('Member Evaluation'!$DE$5:$DE$121, ROW(A46)), 'Member Evaluation'!$DE$5:$DE$121, 0)), "")</f>
        <v/>
      </c>
      <c r="E47" s="18" t="str">
        <f>IFERROR(INDEX('Member Evaluation'!$DB$5:$DB$121,MATCH(LARGE('Member Evaluation'!$DE$5:$DE$121,46),'Member Evaluation'!$DE$5:$DE$121,0)),"")</f>
        <v/>
      </c>
    </row>
    <row r="48" spans="1:5" ht="15.75" customHeight="1" x14ac:dyDescent="0.25">
      <c r="A48" s="18">
        <v>47</v>
      </c>
      <c r="B48" s="18" t="str">
        <f>IFERROR(INDEX('Member Evaluation'!$A$5:$A$121,MATCH(LARGE('Member Evaluation'!$DE$5:$DE$121,47),'Member Evaluation'!$DE$5:$DE$121,0)),"")</f>
        <v/>
      </c>
      <c r="C48" s="18" t="str">
        <f t="shared" si="0"/>
        <v/>
      </c>
      <c r="D48" s="18" t="str">
        <f>IFERROR(INDEX('Member Evaluation'!$CZ$5:$CZ$121, MATCH(LARGE('Member Evaluation'!$DE$5:$DE$121, ROW(A47)), 'Member Evaluation'!$DE$5:$DE$121, 0)), "")</f>
        <v/>
      </c>
      <c r="E48" s="18" t="str">
        <f>IFERROR(INDEX('Member Evaluation'!$DB$5:$DB$121,MATCH(LARGE('Member Evaluation'!$DE$5:$DE$121,47),'Member Evaluation'!$DE$5:$DE$121,0)),"")</f>
        <v/>
      </c>
    </row>
    <row r="49" spans="1:5" ht="15.75" customHeight="1" x14ac:dyDescent="0.25">
      <c r="A49" s="18">
        <v>48</v>
      </c>
      <c r="B49" s="18" t="str">
        <f>IFERROR(INDEX('Member Evaluation'!$A$5:$A$121,MATCH(LARGE('Member Evaluation'!$DE$5:$DE$121,48),'Member Evaluation'!$DE$5:$DE$121,0)),"")</f>
        <v/>
      </c>
      <c r="C49" s="18" t="str">
        <f t="shared" si="0"/>
        <v/>
      </c>
      <c r="D49" s="18" t="str">
        <f>IFERROR(INDEX('Member Evaluation'!$CZ$5:$CZ$121, MATCH(LARGE('Member Evaluation'!$DE$5:$DE$121, ROW(A48)), 'Member Evaluation'!$DE$5:$DE$121, 0)), "")</f>
        <v/>
      </c>
      <c r="E49" s="18" t="str">
        <f>IFERROR(INDEX('Member Evaluation'!$DB$5:$DB$121,MATCH(LARGE('Member Evaluation'!$DE$5:$DE$121,48),'Member Evaluation'!$DE$5:$DE$121,0)),"")</f>
        <v/>
      </c>
    </row>
    <row r="50" spans="1:5" ht="15.75" customHeight="1" x14ac:dyDescent="0.25">
      <c r="A50" s="18">
        <v>49</v>
      </c>
      <c r="B50" s="18" t="str">
        <f>IFERROR(INDEX('Member Evaluation'!$A$5:$A$121,MATCH(LARGE('Member Evaluation'!$DE$5:$DE$121,49),'Member Evaluation'!$DE$5:$DE$121,0)),"")</f>
        <v/>
      </c>
      <c r="C50" s="18" t="str">
        <f t="shared" si="0"/>
        <v/>
      </c>
      <c r="D50" s="18" t="str">
        <f>IFERROR(INDEX('Member Evaluation'!$CZ$5:$CZ$121, MATCH(LARGE('Member Evaluation'!$DE$5:$DE$121, ROW(A49)), 'Member Evaluation'!$DE$5:$DE$121, 0)), "")</f>
        <v/>
      </c>
      <c r="E50" s="18" t="str">
        <f>IFERROR(INDEX('Member Evaluation'!$DB$5:$DB$121,MATCH(LARGE('Member Evaluation'!$DE$5:$DE$121,49),'Member Evaluation'!$DE$5:$DE$121,0)),"")</f>
        <v/>
      </c>
    </row>
    <row r="51" spans="1:5" ht="15.75" customHeight="1" x14ac:dyDescent="0.25">
      <c r="A51" s="18">
        <v>50</v>
      </c>
      <c r="B51" s="18" t="str">
        <f>IFERROR(INDEX('Member Evaluation'!$A$5:$A$121,MATCH(LARGE('Member Evaluation'!$DE$5:$DE$121,50),'Member Evaluation'!$DE$5:$DE$121,0)),"")</f>
        <v/>
      </c>
      <c r="C51" s="18" t="str">
        <f t="shared" si="0"/>
        <v/>
      </c>
      <c r="D51" s="18" t="str">
        <f>IFERROR(INDEX('Member Evaluation'!$CZ$5:$CZ$121, MATCH(LARGE('Member Evaluation'!$DE$5:$DE$121, ROW(A50)), 'Member Evaluation'!$DE$5:$DE$121, 0)), "")</f>
        <v/>
      </c>
      <c r="E51" s="18" t="str">
        <f>IFERROR(INDEX('Member Evaluation'!$DB$5:$DB$121,MATCH(LARGE('Member Evaluation'!$DE$5:$DE$121,50),'Member Evaluation'!$DE$5:$DE$121,0)),"")</f>
        <v/>
      </c>
    </row>
    <row r="52" spans="1:5" ht="15.75" customHeight="1" x14ac:dyDescent="0.25">
      <c r="A52" s="18">
        <v>51</v>
      </c>
      <c r="B52" s="18" t="str">
        <f>IFERROR(INDEX('Member Evaluation'!$A$5:$A$121,MATCH(LARGE('Member Evaluation'!$DE$5:$DE$121,51),'Member Evaluation'!$DE$5:$DE$121,0)),"")</f>
        <v/>
      </c>
      <c r="C52" s="18" t="str">
        <f t="shared" si="0"/>
        <v/>
      </c>
      <c r="D52" s="18" t="str">
        <f>IFERROR(INDEX('Member Evaluation'!$CZ$5:$CZ$121, MATCH(LARGE('Member Evaluation'!$DE$5:$DE$121, ROW(A51)), 'Member Evaluation'!$DE$5:$DE$121, 0)), "")</f>
        <v/>
      </c>
      <c r="E52" s="18" t="str">
        <f>IFERROR(INDEX('Member Evaluation'!$DB$5:$DB$121,MATCH(LARGE('Member Evaluation'!$DE$5:$DE$121,51),'Member Evaluation'!$DE$5:$DE$121,0)),"")</f>
        <v/>
      </c>
    </row>
    <row r="53" spans="1:5" ht="15.75" customHeight="1" x14ac:dyDescent="0.25">
      <c r="A53" s="18">
        <v>52</v>
      </c>
      <c r="B53" s="18" t="str">
        <f>IFERROR(INDEX('Member Evaluation'!$A$5:$A$121,MATCH(LARGE('Member Evaluation'!$DE$5:$DE$121,52),'Member Evaluation'!$DE$5:$DE$121,0)),"")</f>
        <v/>
      </c>
      <c r="C53" s="18" t="str">
        <f t="shared" si="0"/>
        <v/>
      </c>
      <c r="D53" s="18" t="str">
        <f>IFERROR(INDEX('Member Evaluation'!$CZ$5:$CZ$121, MATCH(LARGE('Member Evaluation'!$DE$5:$DE$121, ROW(A52)), 'Member Evaluation'!$DE$5:$DE$121, 0)), "")</f>
        <v/>
      </c>
      <c r="E53" s="18" t="str">
        <f>IFERROR(INDEX('Member Evaluation'!$DB$5:$DB$121,MATCH(LARGE('Member Evaluation'!$DE$5:$DE$121,52),'Member Evaluation'!$DE$5:$DE$121,0)),"")</f>
        <v/>
      </c>
    </row>
    <row r="54" spans="1:5" ht="15.75" customHeight="1" x14ac:dyDescent="0.25">
      <c r="A54" s="18">
        <v>53</v>
      </c>
      <c r="B54" s="18" t="str">
        <f>IFERROR(INDEX('Member Evaluation'!$A$5:$A$121,MATCH(LARGE('Member Evaluation'!$DE$5:$DE$121,53),'Member Evaluation'!$DE$5:$DE$121,0)),"")</f>
        <v/>
      </c>
      <c r="C54" s="18" t="str">
        <f t="shared" si="0"/>
        <v/>
      </c>
      <c r="D54" s="18" t="str">
        <f>IFERROR(INDEX('Member Evaluation'!$CZ$5:$CZ$121, MATCH(LARGE('Member Evaluation'!$DE$5:$DE$121, ROW(A53)), 'Member Evaluation'!$DE$5:$DE$121, 0)), "")</f>
        <v/>
      </c>
      <c r="E54" s="18" t="str">
        <f>IFERROR(INDEX('Member Evaluation'!$DB$5:$DB$121,MATCH(LARGE('Member Evaluation'!$DE$5:$DE$121,53),'Member Evaluation'!$DE$5:$DE$121,0)),"")</f>
        <v/>
      </c>
    </row>
    <row r="55" spans="1:5" ht="15.75" customHeight="1" x14ac:dyDescent="0.25">
      <c r="A55" s="18">
        <v>54</v>
      </c>
      <c r="B55" s="18" t="str">
        <f>IFERROR(INDEX('Member Evaluation'!$A$5:$A$121,MATCH(LARGE('Member Evaluation'!$DE$5:$DE$121,54),'Member Evaluation'!$DE$5:$DE$121,0)),"")</f>
        <v/>
      </c>
      <c r="C55" s="18" t="str">
        <f t="shared" si="0"/>
        <v/>
      </c>
      <c r="D55" s="18" t="str">
        <f>IFERROR(INDEX('Member Evaluation'!$CZ$5:$CZ$121, MATCH(LARGE('Member Evaluation'!$DE$5:$DE$121, ROW(A54)), 'Member Evaluation'!$DE$5:$DE$121, 0)), "")</f>
        <v/>
      </c>
      <c r="E55" s="18" t="str">
        <f>IFERROR(INDEX('Member Evaluation'!$DB$5:$DB$121,MATCH(LARGE('Member Evaluation'!$DE$5:$DE$121,54),'Member Evaluation'!$DE$5:$DE$121,0)),"")</f>
        <v/>
      </c>
    </row>
    <row r="56" spans="1:5" ht="15.75" customHeight="1" x14ac:dyDescent="0.25">
      <c r="A56" s="18">
        <v>55</v>
      </c>
      <c r="B56" s="18" t="str">
        <f>IFERROR(INDEX('Member Evaluation'!$A$5:$A$121,MATCH(LARGE('Member Evaluation'!$DE$5:$DE$121,55),'Member Evaluation'!$DE$5:$DE$121,0)),"")</f>
        <v/>
      </c>
      <c r="C56" s="18" t="str">
        <f t="shared" si="0"/>
        <v/>
      </c>
      <c r="D56" s="18" t="str">
        <f>IFERROR(INDEX('Member Evaluation'!$CZ$5:$CZ$121, MATCH(LARGE('Member Evaluation'!$DE$5:$DE$121, ROW(A55)), 'Member Evaluation'!$DE$5:$DE$121, 0)), "")</f>
        <v/>
      </c>
      <c r="E56" s="18" t="str">
        <f>IFERROR(INDEX('Member Evaluation'!$DB$5:$DB$121,MATCH(LARGE('Member Evaluation'!$DE$5:$DE$121,55),'Member Evaluation'!$DE$5:$DE$121,0)),"")</f>
        <v/>
      </c>
    </row>
    <row r="57" spans="1:5" ht="15.75" customHeight="1" x14ac:dyDescent="0.25">
      <c r="A57" s="18">
        <v>56</v>
      </c>
      <c r="B57" s="18" t="str">
        <f>IFERROR(INDEX('Member Evaluation'!$A$5:$A$121,MATCH(LARGE('Member Evaluation'!$DE$5:$DE$121,56),'Member Evaluation'!$DE$5:$DE$121,0)),"")</f>
        <v/>
      </c>
      <c r="C57" s="18" t="str">
        <f t="shared" si="0"/>
        <v/>
      </c>
      <c r="D57" s="18" t="str">
        <f>IFERROR(INDEX('Member Evaluation'!$CZ$5:$CZ$121, MATCH(LARGE('Member Evaluation'!$DE$5:$DE$121, ROW(A56)), 'Member Evaluation'!$DE$5:$DE$121, 0)), "")</f>
        <v/>
      </c>
      <c r="E57" s="18" t="str">
        <f>IFERROR(INDEX('Member Evaluation'!$DB$5:$DB$121,MATCH(LARGE('Member Evaluation'!$DE$5:$DE$121,56),'Member Evaluation'!$DE$5:$DE$121,0)),"")</f>
        <v/>
      </c>
    </row>
    <row r="58" spans="1:5" ht="15.75" customHeight="1" x14ac:dyDescent="0.25">
      <c r="A58" s="18">
        <v>57</v>
      </c>
      <c r="B58" s="18" t="str">
        <f>IFERROR(INDEX('Member Evaluation'!$A$5:$A$121,MATCH(LARGE('Member Evaluation'!$DE$5:$DE$121,57),'Member Evaluation'!$DE$5:$DE$121,0)),"")</f>
        <v/>
      </c>
      <c r="C58" s="18" t="str">
        <f t="shared" si="0"/>
        <v/>
      </c>
      <c r="D58" s="18" t="str">
        <f>IFERROR(INDEX('Member Evaluation'!$CZ$5:$CZ$121, MATCH(LARGE('Member Evaluation'!$DE$5:$DE$121, ROW(A57)), 'Member Evaluation'!$DE$5:$DE$121, 0)), "")</f>
        <v/>
      </c>
      <c r="E58" s="18" t="str">
        <f>IFERROR(INDEX('Member Evaluation'!$DB$5:$DB$121,MATCH(LARGE('Member Evaluation'!$DE$5:$DE$121,57),'Member Evaluation'!$DE$5:$DE$121,0)),"")</f>
        <v/>
      </c>
    </row>
    <row r="59" spans="1:5" ht="15.75" customHeight="1" x14ac:dyDescent="0.25">
      <c r="A59" s="18">
        <v>58</v>
      </c>
      <c r="B59" s="18" t="str">
        <f>IFERROR(INDEX('Member Evaluation'!$A$5:$A$121,MATCH(LARGE('Member Evaluation'!$DE$5:$DE$121,58),'Member Evaluation'!$DE$5:$DE$121,0)),"")</f>
        <v/>
      </c>
      <c r="C59" s="18" t="str">
        <f t="shared" si="0"/>
        <v/>
      </c>
      <c r="D59" s="18" t="str">
        <f>IFERROR(INDEX('Member Evaluation'!$CZ$5:$CZ$121, MATCH(LARGE('Member Evaluation'!$DE$5:$DE$121, ROW(A58)), 'Member Evaluation'!$DE$5:$DE$121, 0)), "")</f>
        <v/>
      </c>
      <c r="E59" s="18" t="str">
        <f>IFERROR(INDEX('Member Evaluation'!$DB$5:$DB$121,MATCH(LARGE('Member Evaluation'!$DE$5:$DE$121,58),'Member Evaluation'!$DE$5:$DE$121,0)),"")</f>
        <v/>
      </c>
    </row>
    <row r="60" spans="1:5" ht="15.75" customHeight="1" x14ac:dyDescent="0.25">
      <c r="A60" s="18">
        <v>59</v>
      </c>
      <c r="B60" s="18" t="str">
        <f>IFERROR(INDEX('Member Evaluation'!$A$5:$A$121,MATCH(LARGE('Member Evaluation'!$DE$5:$DE$121,59),'Member Evaluation'!$DE$5:$DE$121,0)),"")</f>
        <v/>
      </c>
      <c r="C60" s="18" t="str">
        <f t="shared" si="0"/>
        <v/>
      </c>
      <c r="D60" s="18" t="str">
        <f>IFERROR(INDEX('Member Evaluation'!$CZ$5:$CZ$121, MATCH(LARGE('Member Evaluation'!$DE$5:$DE$121, ROW(A59)), 'Member Evaluation'!$DE$5:$DE$121, 0)), "")</f>
        <v/>
      </c>
      <c r="E60" s="18" t="str">
        <f>IFERROR(INDEX('Member Evaluation'!$DB$5:$DB$121,MATCH(LARGE('Member Evaluation'!$DE$5:$DE$121,59),'Member Evaluation'!$DE$5:$DE$121,0)),"")</f>
        <v/>
      </c>
    </row>
    <row r="61" spans="1:5" ht="15.75" customHeight="1" x14ac:dyDescent="0.25">
      <c r="A61" s="18">
        <v>60</v>
      </c>
      <c r="B61" s="18" t="str">
        <f>IFERROR(INDEX('Member Evaluation'!$A$5:$A$121,MATCH(LARGE('Member Evaluation'!$DE$5:$DE$121,60),'Member Evaluation'!$DE$5:$DE$121,0)),"")</f>
        <v/>
      </c>
      <c r="C61" s="18" t="str">
        <f t="shared" si="0"/>
        <v/>
      </c>
      <c r="D61" s="18" t="str">
        <f>IFERROR(INDEX('Member Evaluation'!$CZ$5:$CZ$121, MATCH(LARGE('Member Evaluation'!$DE$5:$DE$121, ROW(A60)), 'Member Evaluation'!$DE$5:$DE$121, 0)), "")</f>
        <v/>
      </c>
      <c r="E61" s="18" t="str">
        <f>IFERROR(INDEX('Member Evaluation'!$DB$5:$DB$121,MATCH(LARGE('Member Evaluation'!$DE$5:$DE$121,60),'Member Evaluation'!$DE$5:$DE$121,0)),"")</f>
        <v/>
      </c>
    </row>
    <row r="62" spans="1:5" ht="15.75" customHeight="1" x14ac:dyDescent="0.25">
      <c r="A62" s="18">
        <v>61</v>
      </c>
      <c r="B62" s="18" t="str">
        <f>IFERROR(INDEX('Member Evaluation'!$A$5:$A$121,MATCH(LARGE('Member Evaluation'!$DE$5:$DE$121,61),'Member Evaluation'!$DE$5:$DE$121,0)),"")</f>
        <v/>
      </c>
      <c r="C62" s="18" t="str">
        <f t="shared" si="0"/>
        <v/>
      </c>
      <c r="D62" s="18" t="str">
        <f>IFERROR(INDEX('Member Evaluation'!$CZ$5:$CZ$121, MATCH(LARGE('Member Evaluation'!$DE$5:$DE$121, ROW(A61)), 'Member Evaluation'!$DE$5:$DE$121, 0)), "")</f>
        <v/>
      </c>
      <c r="E62" s="18" t="str">
        <f>IFERROR(INDEX('Member Evaluation'!$DB$5:$DB$121,MATCH(LARGE('Member Evaluation'!$DE$5:$DE$121,61),'Member Evaluation'!$DE$5:$DE$121,0)),"")</f>
        <v/>
      </c>
    </row>
    <row r="63" spans="1:5" ht="15.75" customHeight="1" x14ac:dyDescent="0.25">
      <c r="A63" s="18">
        <v>62</v>
      </c>
      <c r="B63" s="18" t="str">
        <f>IFERROR(INDEX('Member Evaluation'!$A$5:$A$121,MATCH(LARGE('Member Evaluation'!$DE$5:$DE$121,62),'Member Evaluation'!$DE$5:$DE$121,0)),"")</f>
        <v/>
      </c>
      <c r="C63" s="18" t="str">
        <f t="shared" si="0"/>
        <v/>
      </c>
      <c r="D63" s="18" t="str">
        <f>IFERROR(INDEX('Member Evaluation'!$CZ$5:$CZ$121, MATCH(LARGE('Member Evaluation'!$DE$5:$DE$121, ROW(A62)), 'Member Evaluation'!$DE$5:$DE$121, 0)), "")</f>
        <v/>
      </c>
      <c r="E63" s="18" t="str">
        <f>IFERROR(INDEX('Member Evaluation'!$DB$5:$DB$121,MATCH(LARGE('Member Evaluation'!$DE$5:$DE$121,62),'Member Evaluation'!$DE$5:$DE$121,0)),"")</f>
        <v/>
      </c>
    </row>
    <row r="64" spans="1:5" ht="15.75" customHeight="1" x14ac:dyDescent="0.25">
      <c r="A64" s="18">
        <v>63</v>
      </c>
      <c r="B64" s="18" t="str">
        <f>IFERROR(INDEX('Member Evaluation'!$A$5:$A$121,MATCH(LARGE('Member Evaluation'!$DE$5:$DE$121,63),'Member Evaluation'!$DE$5:$DE$121,0)),"")</f>
        <v/>
      </c>
      <c r="C64" s="18" t="str">
        <f t="shared" si="0"/>
        <v/>
      </c>
      <c r="D64" s="18" t="str">
        <f>IFERROR(INDEX('Member Evaluation'!$CZ$5:$CZ$121, MATCH(LARGE('Member Evaluation'!$DE$5:$DE$121, ROW(A63)), 'Member Evaluation'!$DE$5:$DE$121, 0)), "")</f>
        <v/>
      </c>
      <c r="E64" s="18" t="str">
        <f>IFERROR(INDEX('Member Evaluation'!$DB$5:$DB$121,MATCH(LARGE('Member Evaluation'!$DE$5:$DE$121,63),'Member Evaluation'!$DE$5:$DE$121,0)),"")</f>
        <v/>
      </c>
    </row>
    <row r="65" spans="1:5" ht="15.75" customHeight="1" x14ac:dyDescent="0.25">
      <c r="A65" s="18">
        <v>64</v>
      </c>
      <c r="B65" s="18" t="str">
        <f>IFERROR(INDEX('Member Evaluation'!$A$5:$A$121,MATCH(LARGE('Member Evaluation'!$DE$5:$DE$121,64),'Member Evaluation'!$DE$5:$DE$121,0)),"")</f>
        <v/>
      </c>
      <c r="C65" s="18" t="str">
        <f t="shared" si="0"/>
        <v/>
      </c>
      <c r="D65" s="18" t="str">
        <f>IFERROR(INDEX('Member Evaluation'!$CZ$5:$CZ$121, MATCH(LARGE('Member Evaluation'!$DE$5:$DE$121, ROW(A64)), 'Member Evaluation'!$DE$5:$DE$121, 0)), "")</f>
        <v/>
      </c>
      <c r="E65" s="18" t="str">
        <f>IFERROR(INDEX('Member Evaluation'!$DB$5:$DB$121,MATCH(LARGE('Member Evaluation'!$DE$5:$DE$121,64),'Member Evaluation'!$DE$5:$DE$121,0)),"")</f>
        <v/>
      </c>
    </row>
    <row r="66" spans="1:5" ht="15.75" customHeight="1" x14ac:dyDescent="0.25">
      <c r="A66" s="18">
        <v>65</v>
      </c>
      <c r="B66" s="18" t="str">
        <f>IFERROR(INDEX('Member Evaluation'!$A$5:$A$121,MATCH(LARGE('Member Evaluation'!$DE$5:$DE$121,65),'Member Evaluation'!$DE$5:$DE$121,0)),"")</f>
        <v/>
      </c>
      <c r="C66" s="18" t="str">
        <f t="shared" ref="C66:C129" si="1">IF(B66="","","OR")</f>
        <v/>
      </c>
      <c r="D66" s="18" t="str">
        <f>IFERROR(INDEX('Member Evaluation'!$CZ$5:$CZ$121, MATCH(LARGE('Member Evaluation'!$DE$5:$DE$121, ROW(A65)), 'Member Evaluation'!$DE$5:$DE$121, 0)), "")</f>
        <v/>
      </c>
      <c r="E66" s="18" t="str">
        <f>IFERROR(INDEX('Member Evaluation'!$DB$5:$DB$121,MATCH(LARGE('Member Evaluation'!$DE$5:$DE$121,65),'Member Evaluation'!$DE$5:$DE$121,0)),"")</f>
        <v/>
      </c>
    </row>
    <row r="67" spans="1:5" ht="15.75" customHeight="1" x14ac:dyDescent="0.25">
      <c r="A67" s="18">
        <v>66</v>
      </c>
      <c r="B67" s="18" t="str">
        <f>IFERROR(INDEX('Member Evaluation'!$A$5:$A$121,MATCH(LARGE('Member Evaluation'!$DE$5:$DE$121,66),'Member Evaluation'!$DE$5:$DE$121,0)),"")</f>
        <v/>
      </c>
      <c r="C67" s="18" t="str">
        <f t="shared" si="1"/>
        <v/>
      </c>
      <c r="D67" s="18" t="str">
        <f>IFERROR(INDEX('Member Evaluation'!$CZ$5:$CZ$121, MATCH(LARGE('Member Evaluation'!$DE$5:$DE$121, ROW(A66)), 'Member Evaluation'!$DE$5:$DE$121, 0)), "")</f>
        <v/>
      </c>
      <c r="E67" s="18" t="str">
        <f>IFERROR(INDEX('Member Evaluation'!$DB$5:$DB$121,MATCH(LARGE('Member Evaluation'!$DE$5:$DE$121,66),'Member Evaluation'!$DE$5:$DE$121,0)),"")</f>
        <v/>
      </c>
    </row>
    <row r="68" spans="1:5" ht="15.75" customHeight="1" x14ac:dyDescent="0.25">
      <c r="A68" s="18">
        <v>67</v>
      </c>
      <c r="B68" s="18" t="str">
        <f>IFERROR(INDEX('Member Evaluation'!$A$5:$A$121,MATCH(LARGE('Member Evaluation'!$DE$5:$DE$121,67),'Member Evaluation'!$DE$5:$DE$121,0)),"")</f>
        <v/>
      </c>
      <c r="C68" s="18" t="str">
        <f t="shared" si="1"/>
        <v/>
      </c>
      <c r="D68" s="18" t="str">
        <f>IFERROR(INDEX('Member Evaluation'!$CZ$5:$CZ$121, MATCH(LARGE('Member Evaluation'!$DE$5:$DE$121, ROW(A67)), 'Member Evaluation'!$DE$5:$DE$121, 0)), "")</f>
        <v/>
      </c>
      <c r="E68" s="18" t="str">
        <f>IFERROR(INDEX('Member Evaluation'!$DB$5:$DB$121,MATCH(LARGE('Member Evaluation'!$DE$5:$DE$121,67),'Member Evaluation'!$DE$5:$DE$121,0)),"")</f>
        <v/>
      </c>
    </row>
    <row r="69" spans="1:5" ht="15.75" customHeight="1" x14ac:dyDescent="0.25">
      <c r="A69" s="18">
        <v>68</v>
      </c>
      <c r="B69" s="18" t="str">
        <f>IFERROR(INDEX('Member Evaluation'!$A$5:$A$121,MATCH(LARGE('Member Evaluation'!$DE$5:$DE$121,68),'Member Evaluation'!$DE$5:$DE$121,0)),"")</f>
        <v/>
      </c>
      <c r="C69" s="18" t="str">
        <f t="shared" si="1"/>
        <v/>
      </c>
      <c r="D69" s="18" t="str">
        <f>IFERROR(INDEX('Member Evaluation'!$CZ$5:$CZ$121, MATCH(LARGE('Member Evaluation'!$DE$5:$DE$121, ROW(A68)), 'Member Evaluation'!$DE$5:$DE$121, 0)), "")</f>
        <v/>
      </c>
      <c r="E69" s="18" t="str">
        <f>IFERROR(INDEX('Member Evaluation'!$DB$5:$DB$121,MATCH(LARGE('Member Evaluation'!$DE$5:$DE$121,68),'Member Evaluation'!$DE$5:$DE$121,0)),"")</f>
        <v/>
      </c>
    </row>
    <row r="70" spans="1:5" ht="15.75" customHeight="1" x14ac:dyDescent="0.25">
      <c r="A70" s="18">
        <v>69</v>
      </c>
      <c r="B70" s="18" t="str">
        <f>IFERROR(INDEX('Member Evaluation'!$A$5:$A$121,MATCH(LARGE('Member Evaluation'!$DE$5:$DE$121,69),'Member Evaluation'!$DE$5:$DE$121,0)),"")</f>
        <v/>
      </c>
      <c r="C70" s="18" t="str">
        <f t="shared" si="1"/>
        <v/>
      </c>
      <c r="D70" s="18" t="str">
        <f>IFERROR(INDEX('Member Evaluation'!$CZ$5:$CZ$121, MATCH(LARGE('Member Evaluation'!$DE$5:$DE$121, ROW(A69)), 'Member Evaluation'!$DE$5:$DE$121, 0)), "")</f>
        <v/>
      </c>
      <c r="E70" s="18" t="str">
        <f>IFERROR(INDEX('Member Evaluation'!$DB$5:$DB$121,MATCH(LARGE('Member Evaluation'!$DE$5:$DE$121,69),'Member Evaluation'!$DE$5:$DE$121,0)),"")</f>
        <v/>
      </c>
    </row>
    <row r="71" spans="1:5" ht="15.75" customHeight="1" x14ac:dyDescent="0.25">
      <c r="A71" s="18">
        <v>70</v>
      </c>
      <c r="B71" s="18" t="str">
        <f>IFERROR(INDEX('Member Evaluation'!$A$5:$A$121,MATCH(LARGE('Member Evaluation'!$DE$5:$DE$121,70),'Member Evaluation'!$DE$5:$DE$121,0)),"")</f>
        <v/>
      </c>
      <c r="C71" s="18" t="str">
        <f t="shared" si="1"/>
        <v/>
      </c>
      <c r="D71" s="18" t="str">
        <f>IFERROR(INDEX('Member Evaluation'!$CZ$5:$CZ$121, MATCH(LARGE('Member Evaluation'!$DE$5:$DE$121, ROW(A70)), 'Member Evaluation'!$DE$5:$DE$121, 0)), "")</f>
        <v/>
      </c>
      <c r="E71" s="18" t="str">
        <f>IFERROR(INDEX('Member Evaluation'!$DB$5:$DB$121,MATCH(LARGE('Member Evaluation'!$DE$5:$DE$121,70),'Member Evaluation'!$DE$5:$DE$121,0)),"")</f>
        <v/>
      </c>
    </row>
    <row r="72" spans="1:5" ht="15.75" customHeight="1" x14ac:dyDescent="0.25">
      <c r="A72" s="18">
        <v>71</v>
      </c>
      <c r="B72" s="18" t="str">
        <f>IFERROR(INDEX('Member Evaluation'!$A$5:$A$121,MATCH(LARGE('Member Evaluation'!$DE$5:$DE$121,71),'Member Evaluation'!$DE$5:$DE$121,0)),"")</f>
        <v/>
      </c>
      <c r="C72" s="18" t="str">
        <f t="shared" si="1"/>
        <v/>
      </c>
      <c r="D72" s="18" t="str">
        <f>IFERROR(INDEX('Member Evaluation'!$CZ$5:$CZ$121, MATCH(LARGE('Member Evaluation'!$DE$5:$DE$121, ROW(A71)), 'Member Evaluation'!$DE$5:$DE$121, 0)), "")</f>
        <v/>
      </c>
      <c r="E72" s="18" t="str">
        <f>IFERROR(INDEX('Member Evaluation'!$DB$5:$DB$121,MATCH(LARGE('Member Evaluation'!$DE$5:$DE$121,71),'Member Evaluation'!$DE$5:$DE$121,0)),"")</f>
        <v/>
      </c>
    </row>
    <row r="73" spans="1:5" ht="15.75" customHeight="1" x14ac:dyDescent="0.25">
      <c r="A73" s="18">
        <v>72</v>
      </c>
      <c r="B73" s="18" t="str">
        <f>IFERROR(INDEX('Member Evaluation'!$A$5:$A$121,MATCH(LARGE('Member Evaluation'!$DE$5:$DE$121,72),'Member Evaluation'!$DE$5:$DE$121,0)),"")</f>
        <v/>
      </c>
      <c r="C73" s="18" t="str">
        <f t="shared" si="1"/>
        <v/>
      </c>
      <c r="D73" s="18" t="str">
        <f>IFERROR(INDEX('Member Evaluation'!$CZ$5:$CZ$121, MATCH(LARGE('Member Evaluation'!$DE$5:$DE$121, ROW(A72)), 'Member Evaluation'!$DE$5:$DE$121, 0)), "")</f>
        <v/>
      </c>
      <c r="E73" s="18" t="str">
        <f>IFERROR(INDEX('Member Evaluation'!$DB$5:$DB$121,MATCH(LARGE('Member Evaluation'!$DE$5:$DE$121,72),'Member Evaluation'!$DE$5:$DE$121,0)),"")</f>
        <v/>
      </c>
    </row>
    <row r="74" spans="1:5" ht="15.75" customHeight="1" x14ac:dyDescent="0.25">
      <c r="A74" s="18">
        <v>73</v>
      </c>
      <c r="B74" s="18" t="str">
        <f>IFERROR(INDEX('Member Evaluation'!$A$5:$A$121,MATCH(LARGE('Member Evaluation'!$DE$5:$DE$121,73),'Member Evaluation'!$DE$5:$DE$121,0)),"")</f>
        <v/>
      </c>
      <c r="C74" s="18" t="str">
        <f t="shared" si="1"/>
        <v/>
      </c>
      <c r="D74" s="18" t="str">
        <f>IFERROR(INDEX('Member Evaluation'!$CZ$5:$CZ$121, MATCH(LARGE('Member Evaluation'!$DE$5:$DE$121, ROW(A73)), 'Member Evaluation'!$DE$5:$DE$121, 0)), "")</f>
        <v/>
      </c>
      <c r="E74" s="18" t="str">
        <f>IFERROR(INDEX('Member Evaluation'!$DB$5:$DB$121,MATCH(LARGE('Member Evaluation'!$DE$5:$DE$121,73),'Member Evaluation'!$DE$5:$DE$121,0)),"")</f>
        <v/>
      </c>
    </row>
    <row r="75" spans="1:5" ht="15.75" customHeight="1" x14ac:dyDescent="0.25">
      <c r="A75" s="18">
        <v>74</v>
      </c>
      <c r="B75" s="18" t="str">
        <f>IFERROR(INDEX('Member Evaluation'!$A$5:$A$121,MATCH(LARGE('Member Evaluation'!$DE$5:$DE$121,74),'Member Evaluation'!$DE$5:$DE$121,0)),"")</f>
        <v/>
      </c>
      <c r="C75" s="18" t="str">
        <f t="shared" si="1"/>
        <v/>
      </c>
      <c r="D75" s="18" t="str">
        <f>IFERROR(INDEX('Member Evaluation'!$CZ$5:$CZ$121, MATCH(LARGE('Member Evaluation'!$DE$5:$DE$121, ROW(A74)), 'Member Evaluation'!$DE$5:$DE$121, 0)), "")</f>
        <v/>
      </c>
      <c r="E75" s="18" t="str">
        <f>IFERROR(INDEX('Member Evaluation'!$DB$5:$DB$121,MATCH(LARGE('Member Evaluation'!$DE$5:$DE$121,74),'Member Evaluation'!$DE$5:$DE$121,0)),"")</f>
        <v/>
      </c>
    </row>
    <row r="76" spans="1:5" ht="15.75" customHeight="1" x14ac:dyDescent="0.25">
      <c r="A76" s="18">
        <v>75</v>
      </c>
      <c r="B76" s="18" t="str">
        <f>IFERROR(INDEX('Member Evaluation'!$A$5:$A$121,MATCH(LARGE('Member Evaluation'!$DE$5:$DE$121,75),'Member Evaluation'!$DE$5:$DE$121,0)),"")</f>
        <v/>
      </c>
      <c r="C76" s="18" t="str">
        <f t="shared" si="1"/>
        <v/>
      </c>
      <c r="D76" s="18" t="str">
        <f>IFERROR(INDEX('Member Evaluation'!$CZ$5:$CZ$121, MATCH(LARGE('Member Evaluation'!$DE$5:$DE$121, ROW(A75)), 'Member Evaluation'!$DE$5:$DE$121, 0)), "")</f>
        <v/>
      </c>
      <c r="E76" s="18" t="str">
        <f>IFERROR(INDEX('Member Evaluation'!$DB$5:$DB$121,MATCH(LARGE('Member Evaluation'!$DE$5:$DE$121,75),'Member Evaluation'!$DE$5:$DE$121,0)),"")</f>
        <v/>
      </c>
    </row>
    <row r="77" spans="1:5" ht="15.75" customHeight="1" x14ac:dyDescent="0.25">
      <c r="A77" s="18">
        <v>76</v>
      </c>
      <c r="B77" s="18" t="str">
        <f>IFERROR(INDEX('Member Evaluation'!$A$5:$A$121,MATCH(LARGE('Member Evaluation'!$DE$5:$DE$121,76),'Member Evaluation'!$DE$5:$DE$121,0)),"")</f>
        <v/>
      </c>
      <c r="C77" s="18" t="str">
        <f t="shared" si="1"/>
        <v/>
      </c>
      <c r="D77" s="18" t="str">
        <f>IFERROR(INDEX('Member Evaluation'!$CZ$5:$CZ$121, MATCH(LARGE('Member Evaluation'!$DE$5:$DE$121, ROW(A76)), 'Member Evaluation'!$DE$5:$DE$121, 0)), "")</f>
        <v/>
      </c>
      <c r="E77" s="18" t="str">
        <f>IFERROR(INDEX('Member Evaluation'!$DB$5:$DB$121,MATCH(LARGE('Member Evaluation'!$DE$5:$DE$121,76),'Member Evaluation'!$DE$5:$DE$121,0)),"")</f>
        <v/>
      </c>
    </row>
    <row r="78" spans="1:5" ht="15.75" customHeight="1" x14ac:dyDescent="0.25">
      <c r="A78" s="18">
        <v>77</v>
      </c>
      <c r="B78" s="18" t="str">
        <f>IFERROR(INDEX('Member Evaluation'!$A$5:$A$121,MATCH(LARGE('Member Evaluation'!$DE$5:$DE$121,77),'Member Evaluation'!$DE$5:$DE$121,0)),"")</f>
        <v/>
      </c>
      <c r="C78" s="18" t="str">
        <f t="shared" si="1"/>
        <v/>
      </c>
      <c r="D78" s="18" t="str">
        <f>IFERROR(INDEX('Member Evaluation'!$CZ$5:$CZ$121, MATCH(LARGE('Member Evaluation'!$DE$5:$DE$121, ROW(A77)), 'Member Evaluation'!$DE$5:$DE$121, 0)), "")</f>
        <v/>
      </c>
      <c r="E78" s="18" t="str">
        <f>IFERROR(INDEX('Member Evaluation'!$DB$5:$DB$121,MATCH(LARGE('Member Evaluation'!$DE$5:$DE$121,77),'Member Evaluation'!$DE$5:$DE$121,0)),"")</f>
        <v/>
      </c>
    </row>
    <row r="79" spans="1:5" ht="15.75" customHeight="1" x14ac:dyDescent="0.25">
      <c r="A79" s="18">
        <v>78</v>
      </c>
      <c r="B79" s="18" t="str">
        <f>IFERROR(INDEX('Member Evaluation'!$A$5:$A$121,MATCH(LARGE('Member Evaluation'!$DE$5:$DE$121,78),'Member Evaluation'!$DE$5:$DE$121,0)),"")</f>
        <v/>
      </c>
      <c r="C79" s="18" t="str">
        <f t="shared" si="1"/>
        <v/>
      </c>
      <c r="D79" s="18" t="str">
        <f>IFERROR(INDEX('Member Evaluation'!$CZ$5:$CZ$121, MATCH(LARGE('Member Evaluation'!$DE$5:$DE$121, ROW(A78)), 'Member Evaluation'!$DE$5:$DE$121, 0)), "")</f>
        <v/>
      </c>
      <c r="E79" s="18" t="str">
        <f>IFERROR(INDEX('Member Evaluation'!$DB$5:$DB$121,MATCH(LARGE('Member Evaluation'!$DE$5:$DE$121,78),'Member Evaluation'!$DE$5:$DE$121,0)),"")</f>
        <v/>
      </c>
    </row>
    <row r="80" spans="1:5" ht="15.75" customHeight="1" x14ac:dyDescent="0.25">
      <c r="A80" s="18">
        <v>79</v>
      </c>
      <c r="B80" s="18" t="str">
        <f>IFERROR(INDEX('Member Evaluation'!$A$5:$A$121,MATCH(LARGE('Member Evaluation'!$DE$5:$DE$121,79),'Member Evaluation'!$DE$5:$DE$121,0)),"")</f>
        <v/>
      </c>
      <c r="C80" s="18" t="str">
        <f t="shared" si="1"/>
        <v/>
      </c>
      <c r="D80" s="18" t="str">
        <f>IFERROR(INDEX('Member Evaluation'!$CZ$5:$CZ$121, MATCH(LARGE('Member Evaluation'!$DE$5:$DE$121, ROW(A79)), 'Member Evaluation'!$DE$5:$DE$121, 0)), "")</f>
        <v/>
      </c>
      <c r="E80" s="18" t="str">
        <f>IFERROR(INDEX('Member Evaluation'!$DB$5:$DB$121,MATCH(LARGE('Member Evaluation'!$DE$5:$DE$121,79),'Member Evaluation'!$DE$5:$DE$121,0)),"")</f>
        <v/>
      </c>
    </row>
    <row r="81" spans="1:5" ht="15.75" customHeight="1" x14ac:dyDescent="0.25">
      <c r="A81" s="18">
        <v>80</v>
      </c>
      <c r="B81" s="18" t="str">
        <f>IFERROR(INDEX('Member Evaluation'!$A$5:$A$121,MATCH(LARGE('Member Evaluation'!$DE$5:$DE$121,80),'Member Evaluation'!$DE$5:$DE$121,0)),"")</f>
        <v/>
      </c>
      <c r="C81" s="18" t="str">
        <f t="shared" si="1"/>
        <v/>
      </c>
      <c r="D81" s="18" t="str">
        <f>IFERROR(INDEX('Member Evaluation'!$CZ$5:$CZ$121, MATCH(LARGE('Member Evaluation'!$DE$5:$DE$121, ROW(A80)), 'Member Evaluation'!$DE$5:$DE$121, 0)), "")</f>
        <v/>
      </c>
      <c r="E81" s="18" t="str">
        <f>IFERROR(INDEX('Member Evaluation'!$DB$5:$DB$121,MATCH(LARGE('Member Evaluation'!$DE$5:$DE$121,80),'Member Evaluation'!$DE$5:$DE$121,0)),"")</f>
        <v/>
      </c>
    </row>
    <row r="82" spans="1:5" ht="15.75" customHeight="1" x14ac:dyDescent="0.25">
      <c r="A82" s="18">
        <v>81</v>
      </c>
      <c r="B82" s="18" t="str">
        <f>IFERROR(INDEX('Member Evaluation'!$A$5:$A$121,MATCH(LARGE('Member Evaluation'!$DE$5:$DE$121,81),'Member Evaluation'!$DE$5:$DE$121,0)),"")</f>
        <v/>
      </c>
      <c r="C82" s="18" t="str">
        <f t="shared" si="1"/>
        <v/>
      </c>
      <c r="D82" s="18" t="str">
        <f>IFERROR(INDEX('Member Evaluation'!$CZ$5:$CZ$121, MATCH(LARGE('Member Evaluation'!$DE$5:$DE$121, ROW(A81)), 'Member Evaluation'!$DE$5:$DE$121, 0)), "")</f>
        <v/>
      </c>
      <c r="E82" s="18" t="str">
        <f>IFERROR(INDEX('Member Evaluation'!$DB$5:$DB$121,MATCH(LARGE('Member Evaluation'!$DE$5:$DE$121,81),'Member Evaluation'!$DE$5:$DE$121,0)),"")</f>
        <v/>
      </c>
    </row>
    <row r="83" spans="1:5" ht="15.75" customHeight="1" x14ac:dyDescent="0.25">
      <c r="A83" s="18">
        <v>82</v>
      </c>
      <c r="B83" s="18" t="str">
        <f>IFERROR(INDEX('Member Evaluation'!$A$5:$A$121,MATCH(LARGE('Member Evaluation'!$DE$5:$DE$121,82),'Member Evaluation'!$DE$5:$DE$121,0)),"")</f>
        <v/>
      </c>
      <c r="C83" s="18" t="str">
        <f t="shared" si="1"/>
        <v/>
      </c>
      <c r="D83" s="18" t="str">
        <f>IFERROR(INDEX('Member Evaluation'!$CZ$5:$CZ$121, MATCH(LARGE('Member Evaluation'!$DE$5:$DE$121, ROW(A82)), 'Member Evaluation'!$DE$5:$DE$121, 0)), "")</f>
        <v/>
      </c>
      <c r="E83" s="18" t="str">
        <f>IFERROR(INDEX('Member Evaluation'!$DB$5:$DB$121,MATCH(LARGE('Member Evaluation'!$DE$5:$DE$121,82),'Member Evaluation'!$DE$5:$DE$121,0)),"")</f>
        <v/>
      </c>
    </row>
    <row r="84" spans="1:5" ht="15.75" customHeight="1" x14ac:dyDescent="0.25">
      <c r="A84" s="18">
        <v>83</v>
      </c>
      <c r="B84" s="18" t="str">
        <f>IFERROR(INDEX('Member Evaluation'!$A$5:$A$121,MATCH(LARGE('Member Evaluation'!$DE$5:$DE$121,83),'Member Evaluation'!$DE$5:$DE$121,0)),"")</f>
        <v/>
      </c>
      <c r="C84" s="18" t="str">
        <f t="shared" si="1"/>
        <v/>
      </c>
      <c r="D84" s="18" t="str">
        <f>IFERROR(INDEX('Member Evaluation'!$CZ$5:$CZ$121, MATCH(LARGE('Member Evaluation'!$DE$5:$DE$121, ROW(A83)), 'Member Evaluation'!$DE$5:$DE$121, 0)), "")</f>
        <v/>
      </c>
      <c r="E84" s="18" t="str">
        <f>IFERROR(INDEX('Member Evaluation'!$DB$5:$DB$121,MATCH(LARGE('Member Evaluation'!$DE$5:$DE$121,83),'Member Evaluation'!$DE$5:$DE$121,0)),"")</f>
        <v/>
      </c>
    </row>
    <row r="85" spans="1:5" ht="15.75" customHeight="1" x14ac:dyDescent="0.25">
      <c r="A85" s="18">
        <v>84</v>
      </c>
      <c r="B85" s="18" t="str">
        <f>IFERROR(INDEX('Member Evaluation'!$A$5:$A$121,MATCH(LARGE('Member Evaluation'!$DE$5:$DE$121,84),'Member Evaluation'!$DE$5:$DE$121,0)),"")</f>
        <v/>
      </c>
      <c r="C85" s="18" t="str">
        <f t="shared" si="1"/>
        <v/>
      </c>
      <c r="D85" s="18" t="str">
        <f>IFERROR(INDEX('Member Evaluation'!$CZ$5:$CZ$121, MATCH(LARGE('Member Evaluation'!$DE$5:$DE$121, ROW(A84)), 'Member Evaluation'!$DE$5:$DE$121, 0)), "")</f>
        <v/>
      </c>
      <c r="E85" s="18" t="str">
        <f>IFERROR(INDEX('Member Evaluation'!$DB$5:$DB$121,MATCH(LARGE('Member Evaluation'!$DE$5:$DE$121,84),'Member Evaluation'!$DE$5:$DE$121,0)),"")</f>
        <v/>
      </c>
    </row>
    <row r="86" spans="1:5" ht="15.75" customHeight="1" x14ac:dyDescent="0.25">
      <c r="A86" s="18">
        <v>85</v>
      </c>
      <c r="B86" s="18" t="str">
        <f>IFERROR(INDEX('Member Evaluation'!$A$5:$A$121,MATCH(LARGE('Member Evaluation'!$DE$5:$DE$121,85),'Member Evaluation'!$DE$5:$DE$121,0)),"")</f>
        <v/>
      </c>
      <c r="C86" s="18" t="str">
        <f t="shared" si="1"/>
        <v/>
      </c>
      <c r="D86" s="18" t="str">
        <f>IFERROR(INDEX('Member Evaluation'!$CZ$5:$CZ$121, MATCH(LARGE('Member Evaluation'!$DE$5:$DE$121, ROW(A85)), 'Member Evaluation'!$DE$5:$DE$121, 0)), "")</f>
        <v/>
      </c>
      <c r="E86" s="18" t="str">
        <f>IFERROR(INDEX('Member Evaluation'!$DB$5:$DB$121,MATCH(LARGE('Member Evaluation'!$DE$5:$DE$121,85),'Member Evaluation'!$DE$5:$DE$121,0)),"")</f>
        <v/>
      </c>
    </row>
    <row r="87" spans="1:5" ht="15.75" customHeight="1" x14ac:dyDescent="0.25">
      <c r="A87" s="18">
        <v>86</v>
      </c>
      <c r="B87" s="18" t="str">
        <f>IFERROR(INDEX('Member Evaluation'!$A$5:$A$121,MATCH(LARGE('Member Evaluation'!$DE$5:$DE$121,86),'Member Evaluation'!$DE$5:$DE$121,0)),"")</f>
        <v/>
      </c>
      <c r="C87" s="18" t="str">
        <f t="shared" si="1"/>
        <v/>
      </c>
      <c r="D87" s="18" t="str">
        <f>IFERROR(INDEX('Member Evaluation'!$CZ$5:$CZ$121, MATCH(LARGE('Member Evaluation'!$DE$5:$DE$121, ROW(A86)), 'Member Evaluation'!$DE$5:$DE$121, 0)), "")</f>
        <v/>
      </c>
      <c r="E87" s="18" t="str">
        <f>IFERROR(INDEX('Member Evaluation'!$DB$5:$DB$121,MATCH(LARGE('Member Evaluation'!$DE$5:$DE$121,86),'Member Evaluation'!$DE$5:$DE$121,0)),"")</f>
        <v/>
      </c>
    </row>
    <row r="88" spans="1:5" ht="15.75" customHeight="1" x14ac:dyDescent="0.25">
      <c r="A88" s="18">
        <v>87</v>
      </c>
      <c r="B88" s="18" t="str">
        <f>IFERROR(INDEX('Member Evaluation'!$A$5:$A$121,MATCH(LARGE('Member Evaluation'!$DE$5:$DE$121,87),'Member Evaluation'!$DE$5:$DE$121,0)),"")</f>
        <v/>
      </c>
      <c r="C88" s="18" t="str">
        <f t="shared" si="1"/>
        <v/>
      </c>
      <c r="D88" s="18" t="str">
        <f>IFERROR(INDEX('Member Evaluation'!$CZ$5:$CZ$121, MATCH(LARGE('Member Evaluation'!$DE$5:$DE$121, ROW(A87)), 'Member Evaluation'!$DE$5:$DE$121, 0)), "")</f>
        <v/>
      </c>
      <c r="E88" s="18" t="str">
        <f>IFERROR(INDEX('Member Evaluation'!$DB$5:$DB$121,MATCH(LARGE('Member Evaluation'!$DE$5:$DE$121,87),'Member Evaluation'!$DE$5:$DE$121,0)),"")</f>
        <v/>
      </c>
    </row>
    <row r="89" spans="1:5" ht="15.75" customHeight="1" x14ac:dyDescent="0.25">
      <c r="A89" s="18">
        <v>88</v>
      </c>
      <c r="B89" s="18" t="str">
        <f>IFERROR(INDEX('Member Evaluation'!$A$5:$A$121,MATCH(LARGE('Member Evaluation'!$DE$5:$DE$121,88),'Member Evaluation'!$DE$5:$DE$121,0)),"")</f>
        <v/>
      </c>
      <c r="C89" s="18" t="str">
        <f t="shared" si="1"/>
        <v/>
      </c>
      <c r="D89" s="18" t="str">
        <f>IFERROR(INDEX('Member Evaluation'!$CZ$5:$CZ$121, MATCH(LARGE('Member Evaluation'!$DE$5:$DE$121, ROW(A88)), 'Member Evaluation'!$DE$5:$DE$121, 0)), "")</f>
        <v/>
      </c>
      <c r="E89" s="18" t="str">
        <f>IFERROR(INDEX('Member Evaluation'!$DB$5:$DB$121,MATCH(LARGE('Member Evaluation'!$DE$5:$DE$121,88),'Member Evaluation'!$DE$5:$DE$121,0)),"")</f>
        <v/>
      </c>
    </row>
    <row r="90" spans="1:5" ht="15.75" customHeight="1" x14ac:dyDescent="0.25">
      <c r="A90" s="18">
        <v>89</v>
      </c>
      <c r="B90" s="18" t="str">
        <f>IFERROR(INDEX('Member Evaluation'!$A$5:$A$121,MATCH(LARGE('Member Evaluation'!$DE$5:$DE$121,89),'Member Evaluation'!$DE$5:$DE$121,0)),"")</f>
        <v/>
      </c>
      <c r="C90" s="18" t="str">
        <f t="shared" si="1"/>
        <v/>
      </c>
      <c r="D90" s="18" t="str">
        <f>IFERROR(INDEX('Member Evaluation'!$CZ$5:$CZ$121, MATCH(LARGE('Member Evaluation'!$DE$5:$DE$121, ROW(A89)), 'Member Evaluation'!$DE$5:$DE$121, 0)), "")</f>
        <v/>
      </c>
      <c r="E90" s="18" t="str">
        <f>IFERROR(INDEX('Member Evaluation'!$DB$5:$DB$121,MATCH(LARGE('Member Evaluation'!$DE$5:$DE$121,89),'Member Evaluation'!$DE$5:$DE$121,0)),"")</f>
        <v/>
      </c>
    </row>
    <row r="91" spans="1:5" ht="15.75" customHeight="1" x14ac:dyDescent="0.25">
      <c r="A91" s="18">
        <v>90</v>
      </c>
      <c r="B91" s="18" t="str">
        <f>IFERROR(INDEX('Member Evaluation'!$A$5:$A$121,MATCH(LARGE('Member Evaluation'!$DE$5:$DE$121,90),'Member Evaluation'!$DE$5:$DE$121,0)),"")</f>
        <v/>
      </c>
      <c r="C91" s="18" t="str">
        <f t="shared" si="1"/>
        <v/>
      </c>
      <c r="D91" s="18" t="str">
        <f>IFERROR(INDEX('Member Evaluation'!$CZ$5:$CZ$121, MATCH(LARGE('Member Evaluation'!$DE$5:$DE$121, ROW(A90)), 'Member Evaluation'!$DE$5:$DE$121, 0)), "")</f>
        <v/>
      </c>
      <c r="E91" s="18" t="str">
        <f>IFERROR(INDEX('Member Evaluation'!$DB$5:$DB$121,MATCH(LARGE('Member Evaluation'!$DE$5:$DE$121,90),'Member Evaluation'!$DE$5:$DE$121,0)),"")</f>
        <v/>
      </c>
    </row>
    <row r="92" spans="1:5" ht="15.75" customHeight="1" x14ac:dyDescent="0.25">
      <c r="A92" s="18">
        <v>91</v>
      </c>
      <c r="B92" s="18" t="str">
        <f>IFERROR(INDEX('Member Evaluation'!$A$5:$A$121,MATCH(LARGE('Member Evaluation'!$DE$5:$DE$121,91),'Member Evaluation'!$DE$5:$DE$121,0)),"")</f>
        <v/>
      </c>
      <c r="C92" s="18" t="str">
        <f t="shared" si="1"/>
        <v/>
      </c>
      <c r="D92" s="18" t="str">
        <f>IFERROR(INDEX('Member Evaluation'!$CZ$5:$CZ$121, MATCH(LARGE('Member Evaluation'!$DE$5:$DE$121, ROW(A91)), 'Member Evaluation'!$DE$5:$DE$121, 0)), "")</f>
        <v/>
      </c>
      <c r="E92" s="18" t="str">
        <f>IFERROR(INDEX('Member Evaluation'!$DB$5:$DB$121,MATCH(LARGE('Member Evaluation'!$DE$5:$DE$121,91),'Member Evaluation'!$DE$5:$DE$121,0)),"")</f>
        <v/>
      </c>
    </row>
    <row r="93" spans="1:5" ht="15.75" customHeight="1" x14ac:dyDescent="0.25">
      <c r="A93" s="18">
        <v>92</v>
      </c>
      <c r="B93" s="18" t="str">
        <f>IFERROR(INDEX('Member Evaluation'!$A$5:$A$121,MATCH(LARGE('Member Evaluation'!$DE$5:$DE$121,92),'Member Evaluation'!$DE$5:$DE$121,0)),"")</f>
        <v/>
      </c>
      <c r="C93" s="18" t="str">
        <f t="shared" si="1"/>
        <v/>
      </c>
      <c r="D93" s="18" t="str">
        <f>IFERROR(INDEX('Member Evaluation'!$CZ$5:$CZ$121, MATCH(LARGE('Member Evaluation'!$DE$5:$DE$121, ROW(A92)), 'Member Evaluation'!$DE$5:$DE$121, 0)), "")</f>
        <v/>
      </c>
      <c r="E93" s="18" t="str">
        <f>IFERROR(INDEX('Member Evaluation'!$DB$5:$DB$121,MATCH(LARGE('Member Evaluation'!$DE$5:$DE$121,92),'Member Evaluation'!$DE$5:$DE$121,0)),"")</f>
        <v/>
      </c>
    </row>
    <row r="94" spans="1:5" ht="15.75" customHeight="1" x14ac:dyDescent="0.25">
      <c r="A94" s="18">
        <v>93</v>
      </c>
      <c r="B94" s="18" t="str">
        <f>IFERROR(INDEX('Member Evaluation'!$A$5:$A$121,MATCH(LARGE('Member Evaluation'!$DE$5:$DE$121,93),'Member Evaluation'!$DE$5:$DE$121,0)),"")</f>
        <v/>
      </c>
      <c r="C94" s="18" t="str">
        <f t="shared" si="1"/>
        <v/>
      </c>
      <c r="D94" s="18" t="str">
        <f>IFERROR(INDEX('Member Evaluation'!$CZ$5:$CZ$121, MATCH(LARGE('Member Evaluation'!$DE$5:$DE$121, ROW(A93)), 'Member Evaluation'!$DE$5:$DE$121, 0)), "")</f>
        <v/>
      </c>
      <c r="E94" s="18" t="str">
        <f>IFERROR(INDEX('Member Evaluation'!$DB$5:$DB$121,MATCH(LARGE('Member Evaluation'!$DE$5:$DE$121,93),'Member Evaluation'!$DE$5:$DE$121,0)),"")</f>
        <v/>
      </c>
    </row>
    <row r="95" spans="1:5" ht="15.75" customHeight="1" x14ac:dyDescent="0.25">
      <c r="A95" s="18">
        <v>94</v>
      </c>
      <c r="B95" s="18" t="str">
        <f>IFERROR(INDEX('Member Evaluation'!$A$5:$A$121,MATCH(LARGE('Member Evaluation'!$DE$5:$DE$121,94),'Member Evaluation'!$DE$5:$DE$121,0)),"")</f>
        <v/>
      </c>
      <c r="C95" s="18" t="str">
        <f t="shared" si="1"/>
        <v/>
      </c>
      <c r="D95" s="18" t="str">
        <f>IFERROR(INDEX('Member Evaluation'!$CZ$5:$CZ$121, MATCH(LARGE('Member Evaluation'!$DE$5:$DE$121, ROW(A94)), 'Member Evaluation'!$DE$5:$DE$121, 0)), "")</f>
        <v/>
      </c>
      <c r="E95" s="18" t="str">
        <f>IFERROR(INDEX('Member Evaluation'!$DB$5:$DB$121,MATCH(LARGE('Member Evaluation'!$DE$5:$DE$121,94),'Member Evaluation'!$DE$5:$DE$121,0)),"")</f>
        <v/>
      </c>
    </row>
    <row r="96" spans="1:5" ht="15.75" customHeight="1" x14ac:dyDescent="0.25">
      <c r="A96" s="18">
        <v>95</v>
      </c>
      <c r="B96" s="18" t="str">
        <f>IFERROR(INDEX('Member Evaluation'!$A$5:$A$121,MATCH(LARGE('Member Evaluation'!$DE$5:$DE$121,95),'Member Evaluation'!$DE$5:$DE$121,0)),"")</f>
        <v/>
      </c>
      <c r="C96" s="18" t="str">
        <f t="shared" si="1"/>
        <v/>
      </c>
      <c r="D96" s="18" t="str">
        <f>IFERROR(INDEX('Member Evaluation'!$CZ$5:$CZ$121, MATCH(LARGE('Member Evaluation'!$DE$5:$DE$121, ROW(A95)), 'Member Evaluation'!$DE$5:$DE$121, 0)), "")</f>
        <v/>
      </c>
      <c r="E96" s="18" t="str">
        <f>IFERROR(INDEX('Member Evaluation'!$DB$5:$DB$121,MATCH(LARGE('Member Evaluation'!$DE$5:$DE$121,95),'Member Evaluation'!$DE$5:$DE$121,0)),"")</f>
        <v/>
      </c>
    </row>
    <row r="97" spans="1:5" ht="15.75" customHeight="1" x14ac:dyDescent="0.25">
      <c r="A97" s="18">
        <v>96</v>
      </c>
      <c r="B97" s="18" t="str">
        <f>IFERROR(INDEX('Member Evaluation'!$A$5:$A$121,MATCH(LARGE('Member Evaluation'!$DE$5:$DE$121,96),'Member Evaluation'!$DE$5:$DE$121,0)),"")</f>
        <v/>
      </c>
      <c r="C97" s="18" t="str">
        <f t="shared" si="1"/>
        <v/>
      </c>
      <c r="D97" s="18" t="str">
        <f>IFERROR(INDEX('Member Evaluation'!$CZ$5:$CZ$121, MATCH(LARGE('Member Evaluation'!$DE$5:$DE$121, ROW(A96)), 'Member Evaluation'!$DE$5:$DE$121, 0)), "")</f>
        <v/>
      </c>
      <c r="E97" s="18" t="str">
        <f>IFERROR(INDEX('Member Evaluation'!$DB$5:$DB$121,MATCH(LARGE('Member Evaluation'!$DE$5:$DE$121,96),'Member Evaluation'!$DE$5:$DE$121,0)),"")</f>
        <v/>
      </c>
    </row>
    <row r="98" spans="1:5" ht="15.75" customHeight="1" x14ac:dyDescent="0.25">
      <c r="A98" s="18">
        <v>97</v>
      </c>
      <c r="B98" s="18" t="str">
        <f>IFERROR(INDEX('Member Evaluation'!$A$5:$A$121,MATCH(LARGE('Member Evaluation'!$DE$5:$DE$121,97),'Member Evaluation'!$DE$5:$DE$121,0)),"")</f>
        <v/>
      </c>
      <c r="C98" s="18" t="str">
        <f t="shared" si="1"/>
        <v/>
      </c>
      <c r="D98" s="18" t="str">
        <f>IFERROR(INDEX('Member Evaluation'!$CZ$5:$CZ$121, MATCH(LARGE('Member Evaluation'!$DE$5:$DE$121, ROW(A97)), 'Member Evaluation'!$DE$5:$DE$121, 0)), "")</f>
        <v/>
      </c>
      <c r="E98" s="18" t="str">
        <f>IFERROR(INDEX('Member Evaluation'!$DB$5:$DB$121,MATCH(LARGE('Member Evaluation'!$DE$5:$DE$121,97),'Member Evaluation'!$DE$5:$DE$121,0)),"")</f>
        <v/>
      </c>
    </row>
    <row r="99" spans="1:5" ht="15.75" customHeight="1" x14ac:dyDescent="0.25">
      <c r="A99" s="18">
        <v>98</v>
      </c>
      <c r="B99" s="18" t="str">
        <f>IFERROR(INDEX('Member Evaluation'!$A$5:$A$121,MATCH(LARGE('Member Evaluation'!$DE$5:$DE$121,98),'Member Evaluation'!$DE$5:$DE$121,0)),"")</f>
        <v/>
      </c>
      <c r="C99" s="18" t="str">
        <f t="shared" si="1"/>
        <v/>
      </c>
      <c r="D99" s="18" t="str">
        <f>IFERROR(INDEX('Member Evaluation'!$CZ$5:$CZ$121, MATCH(LARGE('Member Evaluation'!$DE$5:$DE$121, ROW(A98)), 'Member Evaluation'!$DE$5:$DE$121, 0)), "")</f>
        <v/>
      </c>
      <c r="E99" s="18" t="str">
        <f>IFERROR(INDEX('Member Evaluation'!$DB$5:$DB$121,MATCH(LARGE('Member Evaluation'!$DE$5:$DE$121,98),'Member Evaluation'!$DE$5:$DE$121,0)),"")</f>
        <v/>
      </c>
    </row>
    <row r="100" spans="1:5" ht="15.75" customHeight="1" x14ac:dyDescent="0.25">
      <c r="A100" s="18">
        <v>99</v>
      </c>
      <c r="B100" s="18" t="str">
        <f>IFERROR(INDEX('Member Evaluation'!$A$5:$A$121,MATCH(LARGE('Member Evaluation'!$DE$5:$DE$121,99),'Member Evaluation'!$DE$5:$DE$121,0)),"")</f>
        <v/>
      </c>
      <c r="C100" s="18" t="str">
        <f t="shared" si="1"/>
        <v/>
      </c>
      <c r="D100" s="18" t="str">
        <f>IFERROR(INDEX('Member Evaluation'!$CZ$5:$CZ$121, MATCH(LARGE('Member Evaluation'!$DE$5:$DE$121, ROW(A99)), 'Member Evaluation'!$DE$5:$DE$121, 0)), "")</f>
        <v/>
      </c>
      <c r="E100" s="18" t="str">
        <f>IFERROR(INDEX('Member Evaluation'!$DB$5:$DB$121,MATCH(LARGE('Member Evaluation'!$DE$5:$DE$121,99),'Member Evaluation'!$DE$5:$DE$121,0)),"")</f>
        <v/>
      </c>
    </row>
    <row r="101" spans="1:5" ht="15.75" customHeight="1" x14ac:dyDescent="0.25">
      <c r="A101" s="18">
        <v>100</v>
      </c>
      <c r="B101" s="18" t="str">
        <f>IFERROR(INDEX('Member Evaluation'!$A$5:$A$121,MATCH(LARGE('Member Evaluation'!$DE$5:$DE$121,100),'Member Evaluation'!$DE$5:$DE$121,0)),"")</f>
        <v/>
      </c>
      <c r="C101" s="18" t="str">
        <f t="shared" si="1"/>
        <v/>
      </c>
      <c r="D101" s="18" t="str">
        <f>IFERROR(INDEX('Member Evaluation'!$CZ$5:$CZ$121, MATCH(LARGE('Member Evaluation'!$DE$5:$DE$121, ROW(A100)), 'Member Evaluation'!$DE$5:$DE$121, 0)), "")</f>
        <v/>
      </c>
      <c r="E101" s="18" t="str">
        <f>IFERROR(INDEX('Member Evaluation'!$DB$5:$DB$121,MATCH(LARGE('Member Evaluation'!$DE$5:$DE$121,100),'Member Evaluation'!$DE$5:$DE$121,0)),"")</f>
        <v/>
      </c>
    </row>
    <row r="102" spans="1:5" ht="15.75" customHeight="1" x14ac:dyDescent="0.25">
      <c r="A102" s="18">
        <v>101</v>
      </c>
      <c r="B102" s="18" t="str">
        <f>IFERROR(INDEX('Member Evaluation'!$A$5:$A$121,MATCH(LARGE('Member Evaluation'!$DE$5:$DE$121,101),'Member Evaluation'!$DE$5:$DE$121,0)),"")</f>
        <v/>
      </c>
      <c r="C102" s="18" t="str">
        <f t="shared" si="1"/>
        <v/>
      </c>
      <c r="D102" s="18" t="str">
        <f>IFERROR(INDEX('Member Evaluation'!$CZ$5:$CZ$121, MATCH(LARGE('Member Evaluation'!$DE$5:$DE$121, ROW(A101)), 'Member Evaluation'!$DE$5:$DE$121, 0)), "")</f>
        <v/>
      </c>
      <c r="E102" s="18" t="str">
        <f>IFERROR(INDEX('Member Evaluation'!$DB$5:$DB$121,MATCH(LARGE('Member Evaluation'!$DE$5:$DE$121,101),'Member Evaluation'!$DE$5:$DE$121,0)),"")</f>
        <v/>
      </c>
    </row>
    <row r="103" spans="1:5" ht="15.75" customHeight="1" x14ac:dyDescent="0.25">
      <c r="A103" s="18">
        <v>102</v>
      </c>
      <c r="B103" s="18" t="str">
        <f>IFERROR(INDEX('Member Evaluation'!$A$5:$A$121,MATCH(LARGE('Member Evaluation'!$DE$5:$DE$121,102),'Member Evaluation'!$DE$5:$DE$121,0)),"")</f>
        <v/>
      </c>
      <c r="C103" s="18" t="str">
        <f t="shared" si="1"/>
        <v/>
      </c>
      <c r="D103" s="18" t="str">
        <f>IFERROR(INDEX('Member Evaluation'!$CZ$5:$CZ$121, MATCH(LARGE('Member Evaluation'!$DE$5:$DE$121, ROW(A102)), 'Member Evaluation'!$DE$5:$DE$121, 0)), "")</f>
        <v/>
      </c>
      <c r="E103" s="18" t="str">
        <f>IFERROR(INDEX('Member Evaluation'!$DB$5:$DB$121,MATCH(LARGE('Member Evaluation'!$DE$5:$DE$121,102),'Member Evaluation'!$DE$5:$DE$121,0)),"")</f>
        <v/>
      </c>
    </row>
    <row r="104" spans="1:5" ht="15.75" customHeight="1" x14ac:dyDescent="0.25">
      <c r="A104" s="18">
        <v>103</v>
      </c>
      <c r="B104" s="18" t="str">
        <f>IFERROR(INDEX('Member Evaluation'!$A$5:$A$121,MATCH(LARGE('Member Evaluation'!$DE$5:$DE$121,103),'Member Evaluation'!$DE$5:$DE$121,0)),"")</f>
        <v/>
      </c>
      <c r="C104" s="18" t="str">
        <f t="shared" si="1"/>
        <v/>
      </c>
      <c r="D104" s="18" t="str">
        <f>IFERROR(INDEX('Member Evaluation'!$CZ$5:$CZ$121, MATCH(LARGE('Member Evaluation'!$DE$5:$DE$121, ROW(A103)), 'Member Evaluation'!$DE$5:$DE$121, 0)), "")</f>
        <v/>
      </c>
      <c r="E104" s="18" t="str">
        <f>IFERROR(INDEX('Member Evaluation'!$DB$5:$DB$121,MATCH(LARGE('Member Evaluation'!$DE$5:$DE$121,103),'Member Evaluation'!$DE$5:$DE$121,0)),"")</f>
        <v/>
      </c>
    </row>
    <row r="105" spans="1:5" ht="15.75" customHeight="1" x14ac:dyDescent="0.25">
      <c r="A105" s="18">
        <v>104</v>
      </c>
      <c r="B105" s="18" t="str">
        <f>IFERROR(INDEX('Member Evaluation'!$A$5:$A$121,MATCH(LARGE('Member Evaluation'!$DE$5:$DE$121,104),'Member Evaluation'!$DE$5:$DE$121,0)),"")</f>
        <v/>
      </c>
      <c r="C105" s="18" t="str">
        <f t="shared" si="1"/>
        <v/>
      </c>
      <c r="D105" s="18" t="str">
        <f>IFERROR(INDEX('Member Evaluation'!$CZ$5:$CZ$121, MATCH(LARGE('Member Evaluation'!$DE$5:$DE$121, ROW(A104)), 'Member Evaluation'!$DE$5:$DE$121, 0)), "")</f>
        <v/>
      </c>
      <c r="E105" s="18" t="str">
        <f>IFERROR(INDEX('Member Evaluation'!$DB$5:$DB$121,MATCH(LARGE('Member Evaluation'!$DE$5:$DE$121,104),'Member Evaluation'!$DE$5:$DE$121,0)),"")</f>
        <v/>
      </c>
    </row>
    <row r="106" spans="1:5" ht="15.75" customHeight="1" x14ac:dyDescent="0.25">
      <c r="A106" s="18">
        <v>105</v>
      </c>
      <c r="B106" s="18" t="str">
        <f>IFERROR(INDEX('Member Evaluation'!$A$5:$A$121,MATCH(LARGE('Member Evaluation'!$DE$5:$DE$121,105),'Member Evaluation'!$DE$5:$DE$121,0)),"")</f>
        <v/>
      </c>
      <c r="C106" s="18" t="str">
        <f t="shared" si="1"/>
        <v/>
      </c>
      <c r="D106" s="18" t="str">
        <f>IFERROR(INDEX('Member Evaluation'!$CZ$5:$CZ$121, MATCH(LARGE('Member Evaluation'!$DE$5:$DE$121, ROW(A105)), 'Member Evaluation'!$DE$5:$DE$121, 0)), "")</f>
        <v/>
      </c>
      <c r="E106" s="18" t="str">
        <f>IFERROR(INDEX('Member Evaluation'!$DB$5:$DB$121,MATCH(LARGE('Member Evaluation'!$DE$5:$DE$121,105),'Member Evaluation'!$DE$5:$DE$121,0)),"")</f>
        <v/>
      </c>
    </row>
    <row r="107" spans="1:5" ht="15.75" customHeight="1" x14ac:dyDescent="0.25">
      <c r="A107" s="18">
        <v>106</v>
      </c>
      <c r="B107" s="18" t="str">
        <f>IFERROR(INDEX('Member Evaluation'!$A$5:$A$121,MATCH(LARGE('Member Evaluation'!$DE$5:$DE$121,106),'Member Evaluation'!$DE$5:$DE$121,0)),"")</f>
        <v/>
      </c>
      <c r="C107" s="18" t="str">
        <f t="shared" si="1"/>
        <v/>
      </c>
      <c r="D107" s="18" t="str">
        <f>IFERROR(INDEX('Member Evaluation'!$CZ$5:$CZ$121, MATCH(LARGE('Member Evaluation'!$DE$5:$DE$121, ROW(A106)), 'Member Evaluation'!$DE$5:$DE$121, 0)), "")</f>
        <v/>
      </c>
      <c r="E107" s="18" t="str">
        <f>IFERROR(INDEX('Member Evaluation'!$DB$5:$DB$121,MATCH(LARGE('Member Evaluation'!$DE$5:$DE$121,106),'Member Evaluation'!$DE$5:$DE$121,0)),"")</f>
        <v/>
      </c>
    </row>
    <row r="108" spans="1:5" ht="15.75" customHeight="1" x14ac:dyDescent="0.25">
      <c r="A108" s="18">
        <v>107</v>
      </c>
      <c r="B108" s="18" t="str">
        <f>IFERROR(INDEX('Member Evaluation'!$A$5:$A$121,MATCH(LARGE('Member Evaluation'!$DE$5:$DE$121,107),'Member Evaluation'!$DE$5:$DE$121,0)),"")</f>
        <v/>
      </c>
      <c r="C108" s="18" t="str">
        <f t="shared" si="1"/>
        <v/>
      </c>
      <c r="D108" s="18" t="str">
        <f>IFERROR(INDEX('Member Evaluation'!$CZ$5:$CZ$121, MATCH(LARGE('Member Evaluation'!$DE$5:$DE$121, ROW(A107)), 'Member Evaluation'!$DE$5:$DE$121, 0)), "")</f>
        <v/>
      </c>
      <c r="E108" s="18" t="str">
        <f>IFERROR(INDEX('Member Evaluation'!$DB$5:$DB$121,MATCH(LARGE('Member Evaluation'!$DE$5:$DE$121,107),'Member Evaluation'!$DE$5:$DE$121,0)),"")</f>
        <v/>
      </c>
    </row>
    <row r="109" spans="1:5" ht="15.75" customHeight="1" x14ac:dyDescent="0.25">
      <c r="A109" s="18">
        <v>108</v>
      </c>
      <c r="B109" s="18" t="str">
        <f>IFERROR(INDEX('Member Evaluation'!$A$5:$A$121,MATCH(LARGE('Member Evaluation'!$DE$5:$DE$121,108),'Member Evaluation'!$DE$5:$DE$121,0)),"")</f>
        <v/>
      </c>
      <c r="C109" s="18" t="str">
        <f t="shared" si="1"/>
        <v/>
      </c>
      <c r="D109" s="18" t="str">
        <f>IFERROR(INDEX('Member Evaluation'!$CZ$5:$CZ$121, MATCH(LARGE('Member Evaluation'!$DE$5:$DE$121, ROW(A108)), 'Member Evaluation'!$DE$5:$DE$121, 0)), "")</f>
        <v/>
      </c>
      <c r="E109" s="18" t="str">
        <f>IFERROR(INDEX('Member Evaluation'!$DB$5:$DB$121,MATCH(LARGE('Member Evaluation'!$DE$5:$DE$121,108),'Member Evaluation'!$DE$5:$DE$121,0)),"")</f>
        <v/>
      </c>
    </row>
    <row r="110" spans="1:5" ht="15.75" customHeight="1" x14ac:dyDescent="0.25">
      <c r="A110" s="18">
        <v>109</v>
      </c>
      <c r="B110" s="18" t="str">
        <f>IFERROR(INDEX('Member Evaluation'!$A$5:$A$121,MATCH(LARGE('Member Evaluation'!$DE$5:$DE$121,109),'Member Evaluation'!$DE$5:$DE$121,0)),"")</f>
        <v/>
      </c>
      <c r="C110" s="18" t="str">
        <f t="shared" si="1"/>
        <v/>
      </c>
      <c r="D110" s="18" t="str">
        <f>IFERROR(INDEX('Member Evaluation'!$CZ$5:$CZ$121, MATCH(LARGE('Member Evaluation'!$DE$5:$DE$121, ROW(A109)), 'Member Evaluation'!$DE$5:$DE$121, 0)), "")</f>
        <v/>
      </c>
      <c r="E110" s="18" t="str">
        <f>IFERROR(INDEX('Member Evaluation'!$DB$5:$DB$121,MATCH(LARGE('Member Evaluation'!$DE$5:$DE$121,109),'Member Evaluation'!$DE$5:$DE$121,0)),"")</f>
        <v/>
      </c>
    </row>
    <row r="111" spans="1:5" ht="15.75" customHeight="1" x14ac:dyDescent="0.25">
      <c r="A111" s="18">
        <v>110</v>
      </c>
      <c r="B111" s="18" t="str">
        <f>IFERROR(INDEX('Member Evaluation'!$A$5:$A$121,MATCH(LARGE('Member Evaluation'!$DE$5:$DE$121,110),'Member Evaluation'!$DE$5:$DE$121,0)),"")</f>
        <v/>
      </c>
      <c r="C111" s="18" t="str">
        <f t="shared" si="1"/>
        <v/>
      </c>
      <c r="D111" s="18" t="str">
        <f>IFERROR(INDEX('Member Evaluation'!$CZ$5:$CZ$121, MATCH(LARGE('Member Evaluation'!$DE$5:$DE$121, ROW(A110)), 'Member Evaluation'!$DE$5:$DE$121, 0)), "")</f>
        <v/>
      </c>
      <c r="E111" s="18" t="str">
        <f>IFERROR(INDEX('Member Evaluation'!$DB$5:$DB$121,MATCH(LARGE('Member Evaluation'!$DE$5:$DE$121,110),'Member Evaluation'!$DE$5:$DE$121,0)),"")</f>
        <v/>
      </c>
    </row>
    <row r="112" spans="1:5" ht="15.75" customHeight="1" x14ac:dyDescent="0.25">
      <c r="A112" s="18">
        <v>111</v>
      </c>
      <c r="B112" s="18" t="str">
        <f>IFERROR(INDEX('Member Evaluation'!$A$5:$A$121,MATCH(LARGE('Member Evaluation'!$DE$5:$DE$121,111),'Member Evaluation'!$DE$5:$DE$121,0)),"")</f>
        <v/>
      </c>
      <c r="C112" s="18" t="str">
        <f t="shared" si="1"/>
        <v/>
      </c>
      <c r="D112" s="18" t="str">
        <f>IFERROR(INDEX('Member Evaluation'!$CZ$5:$CZ$121, MATCH(LARGE('Member Evaluation'!$DE$5:$DE$121, ROW(A111)), 'Member Evaluation'!$DE$5:$DE$121, 0)), "")</f>
        <v/>
      </c>
      <c r="E112" s="18" t="str">
        <f>IFERROR(INDEX('Member Evaluation'!$DB$5:$DB$121,MATCH(LARGE('Member Evaluation'!$DE$5:$DE$121,111),'Member Evaluation'!$DE$5:$DE$121,0)),"")</f>
        <v/>
      </c>
    </row>
    <row r="113" spans="1:5" ht="15.75" customHeight="1" x14ac:dyDescent="0.25">
      <c r="A113" s="18">
        <v>112</v>
      </c>
      <c r="B113" s="18" t="str">
        <f>IFERROR(INDEX('Member Evaluation'!$A$5:$A$121,MATCH(LARGE('Member Evaluation'!$DE$5:$DE$121,112),'Member Evaluation'!$DE$5:$DE$121,0)),"")</f>
        <v/>
      </c>
      <c r="C113" s="18" t="str">
        <f t="shared" si="1"/>
        <v/>
      </c>
      <c r="D113" s="18" t="str">
        <f>IFERROR(INDEX('Member Evaluation'!$CZ$5:$CZ$121, MATCH(LARGE('Member Evaluation'!$DE$5:$DE$121, ROW(A112)), 'Member Evaluation'!$DE$5:$DE$121, 0)), "")</f>
        <v/>
      </c>
      <c r="E113" s="18" t="str">
        <f>IFERROR(INDEX('Member Evaluation'!$DB$5:$DB$121,MATCH(LARGE('Member Evaluation'!$DE$5:$DE$121,112),'Member Evaluation'!$DE$5:$DE$121,0)),"")</f>
        <v/>
      </c>
    </row>
    <row r="114" spans="1:5" ht="15.75" customHeight="1" x14ac:dyDescent="0.25">
      <c r="A114" s="18">
        <v>113</v>
      </c>
      <c r="B114" s="18" t="str">
        <f>IFERROR(INDEX('Member Evaluation'!$A$5:$A$121,MATCH(LARGE('Member Evaluation'!$DE$5:$DE$121,113),'Member Evaluation'!$DE$5:$DE$121,0)),"")</f>
        <v/>
      </c>
      <c r="C114" s="18" t="str">
        <f t="shared" si="1"/>
        <v/>
      </c>
      <c r="D114" s="18" t="str">
        <f>IFERROR(INDEX('Member Evaluation'!$CZ$5:$CZ$121, MATCH(LARGE('Member Evaluation'!$DE$5:$DE$121, ROW(A113)), 'Member Evaluation'!$DE$5:$DE$121, 0)), "")</f>
        <v/>
      </c>
      <c r="E114" s="18" t="str">
        <f>IFERROR(INDEX('Member Evaluation'!$DB$5:$DB$121,MATCH(LARGE('Member Evaluation'!$DE$5:$DE$121,113),'Member Evaluation'!$DE$5:$DE$121,0)),"")</f>
        <v/>
      </c>
    </row>
    <row r="115" spans="1:5" ht="15.75" customHeight="1" x14ac:dyDescent="0.25">
      <c r="A115" s="18">
        <v>114</v>
      </c>
      <c r="B115" s="18" t="str">
        <f>IFERROR(INDEX('Member Evaluation'!$A$5:$A$121,MATCH(LARGE('Member Evaluation'!$DE$5:$DE$121,114),'Member Evaluation'!$DE$5:$DE$121,0)),"")</f>
        <v/>
      </c>
      <c r="C115" s="18" t="str">
        <f t="shared" si="1"/>
        <v/>
      </c>
      <c r="D115" s="18" t="str">
        <f>IFERROR(INDEX('Member Evaluation'!$CZ$5:$CZ$121, MATCH(LARGE('Member Evaluation'!$DE$5:$DE$121, ROW(A114)), 'Member Evaluation'!$DE$5:$DE$121, 0)), "")</f>
        <v/>
      </c>
      <c r="E115" s="18" t="str">
        <f>IFERROR(INDEX('Member Evaluation'!$DB$5:$DB$121,MATCH(LARGE('Member Evaluation'!$DE$5:$DE$121,114),'Member Evaluation'!$DE$5:$DE$121,0)),"")</f>
        <v/>
      </c>
    </row>
    <row r="116" spans="1:5" ht="15.75" customHeight="1" x14ac:dyDescent="0.25">
      <c r="A116" s="18">
        <v>115</v>
      </c>
      <c r="B116" s="18" t="str">
        <f>IFERROR(INDEX('Member Evaluation'!$A$5:$A$121,MATCH(LARGE('Member Evaluation'!$DE$5:$DE$121,115),'Member Evaluation'!$DE$5:$DE$121,0)),"")</f>
        <v/>
      </c>
      <c r="C116" s="18" t="str">
        <f t="shared" si="1"/>
        <v/>
      </c>
      <c r="D116" s="18" t="str">
        <f>IFERROR(INDEX('Member Evaluation'!$CZ$5:$CZ$121, MATCH(LARGE('Member Evaluation'!$DE$5:$DE$121, ROW(A115)), 'Member Evaluation'!$DE$5:$DE$121, 0)), "")</f>
        <v/>
      </c>
      <c r="E116" s="18" t="str">
        <f>IFERROR(INDEX('Member Evaluation'!$DB$5:$DB$121,MATCH(LARGE('Member Evaluation'!$DE$5:$DE$121,115),'Member Evaluation'!$DE$5:$DE$121,0)),"")</f>
        <v/>
      </c>
    </row>
    <row r="117" spans="1:5" ht="15.75" customHeight="1" x14ac:dyDescent="0.25">
      <c r="A117" s="18">
        <v>116</v>
      </c>
      <c r="B117" s="18" t="str">
        <f>IFERROR(INDEX('Member Evaluation'!$A$5:$A$121,MATCH(LARGE('Member Evaluation'!$DE$5:$DE$121,116),'Member Evaluation'!$DE$5:$DE$121,0)),"")</f>
        <v/>
      </c>
      <c r="C117" s="18" t="str">
        <f t="shared" si="1"/>
        <v/>
      </c>
      <c r="D117" s="18" t="str">
        <f>IFERROR(INDEX('Member Evaluation'!$CZ$5:$CZ$121, MATCH(LARGE('Member Evaluation'!$DE$5:$DE$121, ROW(A116)), 'Member Evaluation'!$DE$5:$DE$121, 0)), "")</f>
        <v/>
      </c>
      <c r="E117" s="18" t="str">
        <f>IFERROR(INDEX('Member Evaluation'!$DB$5:$DB$121,MATCH(LARGE('Member Evaluation'!$DE$5:$DE$121,116),'Member Evaluation'!$DE$5:$DE$121,0)),"")</f>
        <v/>
      </c>
    </row>
    <row r="118" spans="1:5" ht="15.75" customHeight="1" x14ac:dyDescent="0.25">
      <c r="A118" s="18">
        <v>117</v>
      </c>
      <c r="B118" s="18" t="str">
        <f>IFERROR(INDEX('Member Evaluation'!$A$5:$A$121,MATCH(LARGE('Member Evaluation'!$DE$5:$DE$121,117),'Member Evaluation'!$DE$5:$DE$121,0)),"")</f>
        <v/>
      </c>
      <c r="C118" s="18" t="str">
        <f t="shared" si="1"/>
        <v/>
      </c>
      <c r="D118" s="18" t="str">
        <f>IFERROR(INDEX('Member Evaluation'!$CZ$5:$CZ$121, MATCH(LARGE('Member Evaluation'!$DE$5:$DE$121, ROW(A117)), 'Member Evaluation'!$DE$5:$DE$121, 0)), "")</f>
        <v/>
      </c>
      <c r="E118" s="18" t="str">
        <f>IFERROR(INDEX('Member Evaluation'!$DB$5:$DB$121,MATCH(LARGE('Member Evaluation'!$DE$5:$DE$121,117),'Member Evaluation'!$DE$5:$DE$121,0)),"")</f>
        <v/>
      </c>
    </row>
    <row r="119" spans="1:5" ht="15.75" customHeight="1" x14ac:dyDescent="0.25">
      <c r="A119" s="18">
        <v>118</v>
      </c>
      <c r="B119" s="18" t="str">
        <f>IFERROR(INDEX('Member Evaluation'!$A$5:$A$121,MATCH(LARGE('Member Evaluation'!$DE$5:$DE$121,118),'Member Evaluation'!$DE$5:$DE$121,0)),"")</f>
        <v/>
      </c>
      <c r="C119" s="18" t="str">
        <f t="shared" si="1"/>
        <v/>
      </c>
      <c r="D119" s="18" t="str">
        <f>IFERROR(INDEX('Member Evaluation'!$CZ$5:$CZ$121, MATCH(LARGE('Member Evaluation'!$DE$5:$DE$121, ROW(A118)), 'Member Evaluation'!$DE$5:$DE$121, 0)), "")</f>
        <v/>
      </c>
      <c r="E119" s="18" t="str">
        <f>IFERROR(INDEX('Member Evaluation'!$DB$5:$DB$121,MATCH(LARGE('Member Evaluation'!$DE$5:$DE$121,118),'Member Evaluation'!$DE$5:$DE$121,0)),"")</f>
        <v/>
      </c>
    </row>
    <row r="120" spans="1:5" ht="15.75" customHeight="1" x14ac:dyDescent="0.25">
      <c r="A120" s="18">
        <v>119</v>
      </c>
      <c r="B120" s="18" t="str">
        <f>IFERROR(INDEX('Member Evaluation'!$A$5:$A$121,MATCH(LARGE('Member Evaluation'!$DE$5:$DE$121,119),'Member Evaluation'!$DE$5:$DE$121,0)),"")</f>
        <v/>
      </c>
      <c r="C120" s="18" t="str">
        <f t="shared" si="1"/>
        <v/>
      </c>
      <c r="D120" s="18" t="str">
        <f>IFERROR(INDEX('Member Evaluation'!$CZ$5:$CZ$121, MATCH(LARGE('Member Evaluation'!$DE$5:$DE$121, ROW(A119)), 'Member Evaluation'!$DE$5:$DE$121, 0)), "")</f>
        <v/>
      </c>
      <c r="E120" s="18" t="str">
        <f>IFERROR(INDEX('Member Evaluation'!$DB$5:$DB$121,MATCH(LARGE('Member Evaluation'!$DE$5:$DE$121,119),'Member Evaluation'!$DE$5:$DE$121,0)),"")</f>
        <v/>
      </c>
    </row>
    <row r="121" spans="1:5" ht="15.75" customHeight="1" x14ac:dyDescent="0.25">
      <c r="A121" s="18">
        <v>120</v>
      </c>
      <c r="B121" s="18" t="str">
        <f>IFERROR(INDEX('Member Evaluation'!$A$5:$A$121,MATCH(LARGE('Member Evaluation'!$DE$5:$DE$121,120),'Member Evaluation'!$DE$5:$DE$121,0)),"")</f>
        <v/>
      </c>
      <c r="C121" s="18" t="str">
        <f t="shared" si="1"/>
        <v/>
      </c>
      <c r="D121" s="18" t="str">
        <f>IFERROR(INDEX('Member Evaluation'!$CZ$5:$CZ$121, MATCH(LARGE('Member Evaluation'!$DE$5:$DE$121, ROW(A120)), 'Member Evaluation'!$DE$5:$DE$121, 0)), "")</f>
        <v/>
      </c>
      <c r="E121" s="18" t="str">
        <f>IFERROR(INDEX('Member Evaluation'!$DB$5:$DB$121,MATCH(LARGE('Member Evaluation'!$DE$5:$DE$121,120),'Member Evaluation'!$DE$5:$DE$121,0)),"")</f>
        <v/>
      </c>
    </row>
    <row r="122" spans="1:5" ht="15.75" customHeight="1" x14ac:dyDescent="0.25">
      <c r="A122" s="18">
        <v>121</v>
      </c>
      <c r="B122" s="18" t="str">
        <f>IFERROR(INDEX('Member Evaluation'!$A$5:$A$121,MATCH(LARGE('Member Evaluation'!$DE$5:$DE$121,121),'Member Evaluation'!$DE$5:$DE$121,0)),"")</f>
        <v/>
      </c>
      <c r="C122" s="18" t="str">
        <f t="shared" si="1"/>
        <v/>
      </c>
      <c r="D122" s="18" t="str">
        <f>IFERROR(INDEX('Member Evaluation'!$CZ$5:$CZ$121, MATCH(LARGE('Member Evaluation'!$DE$5:$DE$121, ROW(A121)), 'Member Evaluation'!$DE$5:$DE$121, 0)), "")</f>
        <v/>
      </c>
      <c r="E122" s="18" t="str">
        <f>IFERROR(INDEX('Member Evaluation'!$DB$5:$DB$121,MATCH(LARGE('Member Evaluation'!$DE$5:$DE$121,121),'Member Evaluation'!$DE$5:$DE$121,0)),"")</f>
        <v/>
      </c>
    </row>
    <row r="123" spans="1:5" ht="15.75" customHeight="1" x14ac:dyDescent="0.25">
      <c r="A123" s="18">
        <v>122</v>
      </c>
      <c r="B123" s="18" t="str">
        <f>IFERROR(INDEX('Member Evaluation'!$A$5:$A$121,MATCH(LARGE('Member Evaluation'!$DE$5:$DE$121,122),'Member Evaluation'!$DE$5:$DE$121,0)),"")</f>
        <v/>
      </c>
      <c r="C123" s="18" t="str">
        <f t="shared" si="1"/>
        <v/>
      </c>
      <c r="D123" s="18" t="str">
        <f>IFERROR(INDEX('Member Evaluation'!$CZ$5:$CZ$121, MATCH(LARGE('Member Evaluation'!$DE$5:$DE$121, ROW(A122)), 'Member Evaluation'!$DE$5:$DE$121, 0)), "")</f>
        <v/>
      </c>
      <c r="E123" s="18" t="str">
        <f>IFERROR(INDEX('Member Evaluation'!$DB$5:$DB$121,MATCH(LARGE('Member Evaluation'!$DE$5:$DE$121,122),'Member Evaluation'!$DE$5:$DE$121,0)),"")</f>
        <v/>
      </c>
    </row>
    <row r="124" spans="1:5" ht="15.75" customHeight="1" x14ac:dyDescent="0.25">
      <c r="A124" s="18">
        <v>123</v>
      </c>
      <c r="B124" s="18" t="str">
        <f>IFERROR(INDEX('Member Evaluation'!$A$5:$A$121,MATCH(LARGE('Member Evaluation'!$DE$5:$DE$121,123),'Member Evaluation'!$DE$5:$DE$121,0)),"")</f>
        <v/>
      </c>
      <c r="C124" s="18" t="str">
        <f t="shared" si="1"/>
        <v/>
      </c>
      <c r="D124" s="18" t="str">
        <f>IFERROR(INDEX('Member Evaluation'!$CZ$5:$CZ$121, MATCH(LARGE('Member Evaluation'!$DE$5:$DE$121, ROW(A123)), 'Member Evaluation'!$DE$5:$DE$121, 0)), "")</f>
        <v/>
      </c>
      <c r="E124" s="18" t="str">
        <f>IFERROR(INDEX('Member Evaluation'!$DB$5:$DB$121,MATCH(LARGE('Member Evaluation'!$DE$5:$DE$121,123),'Member Evaluation'!$DE$5:$DE$121,0)),"")</f>
        <v/>
      </c>
    </row>
    <row r="125" spans="1:5" ht="15.75" customHeight="1" x14ac:dyDescent="0.25">
      <c r="A125" s="18">
        <v>124</v>
      </c>
      <c r="B125" s="18" t="str">
        <f>IFERROR(INDEX('Member Evaluation'!$A$5:$A$121,MATCH(LARGE('Member Evaluation'!$DE$5:$DE$121,124),'Member Evaluation'!$DE$5:$DE$121,0)),"")</f>
        <v/>
      </c>
      <c r="C125" s="18" t="str">
        <f t="shared" si="1"/>
        <v/>
      </c>
      <c r="D125" s="18" t="str">
        <f>IFERROR(INDEX('Member Evaluation'!$CZ$5:$CZ$121, MATCH(LARGE('Member Evaluation'!$DE$5:$DE$121, ROW(A124)), 'Member Evaluation'!$DE$5:$DE$121, 0)), "")</f>
        <v/>
      </c>
      <c r="E125" s="18" t="str">
        <f>IFERROR(INDEX('Member Evaluation'!$DB$5:$DB$121,MATCH(LARGE('Member Evaluation'!$DE$5:$DE$121,124),'Member Evaluation'!$DE$5:$DE$121,0)),"")</f>
        <v/>
      </c>
    </row>
    <row r="126" spans="1:5" ht="15.75" customHeight="1" x14ac:dyDescent="0.25">
      <c r="A126" s="18">
        <v>125</v>
      </c>
      <c r="B126" s="18" t="str">
        <f>IFERROR(INDEX('Member Evaluation'!$A$5:$A$121,MATCH(LARGE('Member Evaluation'!$DE$5:$DE$121,125),'Member Evaluation'!$DE$5:$DE$121,0)),"")</f>
        <v/>
      </c>
      <c r="C126" s="18" t="str">
        <f t="shared" si="1"/>
        <v/>
      </c>
      <c r="D126" s="18" t="str">
        <f>IFERROR(INDEX('Member Evaluation'!$CZ$5:$CZ$121, MATCH(LARGE('Member Evaluation'!$DE$5:$DE$121, ROW(A125)), 'Member Evaluation'!$DE$5:$DE$121, 0)), "")</f>
        <v/>
      </c>
      <c r="E126" s="18" t="str">
        <f>IFERROR(INDEX('Member Evaluation'!$DB$5:$DB$121,MATCH(LARGE('Member Evaluation'!$DE$5:$DE$121,125),'Member Evaluation'!$DE$5:$DE$121,0)),"")</f>
        <v/>
      </c>
    </row>
    <row r="127" spans="1:5" ht="15.75" customHeight="1" x14ac:dyDescent="0.25">
      <c r="A127" s="18">
        <v>126</v>
      </c>
      <c r="B127" s="18" t="str">
        <f>IFERROR(INDEX('Member Evaluation'!$A$5:$A$121,MATCH(LARGE('Member Evaluation'!$DE$5:$DE$121,126),'Member Evaluation'!$DE$5:$DE$121,0)),"")</f>
        <v/>
      </c>
      <c r="C127" s="18" t="str">
        <f t="shared" si="1"/>
        <v/>
      </c>
      <c r="D127" s="18" t="str">
        <f>IFERROR(INDEX('Member Evaluation'!$CZ$5:$CZ$121, MATCH(LARGE('Member Evaluation'!$DE$5:$DE$121, ROW(A126)), 'Member Evaluation'!$DE$5:$DE$121, 0)), "")</f>
        <v/>
      </c>
      <c r="E127" s="18" t="str">
        <f>IFERROR(INDEX('Member Evaluation'!$DB$5:$DB$121,MATCH(LARGE('Member Evaluation'!$DE$5:$DE$121,126),'Member Evaluation'!$DE$5:$DE$121,0)),"")</f>
        <v/>
      </c>
    </row>
    <row r="128" spans="1:5" ht="15.75" customHeight="1" x14ac:dyDescent="0.25">
      <c r="A128" s="18">
        <v>127</v>
      </c>
      <c r="B128" s="18" t="str">
        <f>IFERROR(INDEX('Member Evaluation'!$A$5:$A$121,MATCH(LARGE('Member Evaluation'!$DE$5:$DE$121,127),'Member Evaluation'!$DE$5:$DE$121,0)),"")</f>
        <v/>
      </c>
      <c r="C128" s="18" t="str">
        <f t="shared" si="1"/>
        <v/>
      </c>
      <c r="D128" s="18" t="str">
        <f>IFERROR(INDEX('Member Evaluation'!$CZ$5:$CZ$121, MATCH(LARGE('Member Evaluation'!$DE$5:$DE$121, ROW(A127)), 'Member Evaluation'!$DE$5:$DE$121, 0)), "")</f>
        <v/>
      </c>
      <c r="E128" s="18" t="str">
        <f>IFERROR(INDEX('Member Evaluation'!$DB$5:$DB$121,MATCH(LARGE('Member Evaluation'!$DE$5:$DE$121,127),'Member Evaluation'!$DE$5:$DE$121,0)),"")</f>
        <v/>
      </c>
    </row>
    <row r="129" spans="1:5" ht="15.75" customHeight="1" x14ac:dyDescent="0.25">
      <c r="A129" s="18">
        <v>128</v>
      </c>
      <c r="B129" s="18" t="str">
        <f>IFERROR(INDEX('Member Evaluation'!$A$5:$A$121,MATCH(LARGE('Member Evaluation'!$DE$5:$DE$121,128),'Member Evaluation'!$DE$5:$DE$121,0)),"")</f>
        <v/>
      </c>
      <c r="C129" s="18" t="str">
        <f t="shared" si="1"/>
        <v/>
      </c>
      <c r="D129" s="18" t="str">
        <f>IFERROR(INDEX('Member Evaluation'!$CZ$5:$CZ$121, MATCH(LARGE('Member Evaluation'!$DE$5:$DE$121, ROW(A128)), 'Member Evaluation'!$DE$5:$DE$121, 0)), "")</f>
        <v/>
      </c>
      <c r="E129" s="18" t="str">
        <f>IFERROR(INDEX('Member Evaluation'!$DB$5:$DB$121,MATCH(LARGE('Member Evaluation'!$DE$5:$DE$121,128),'Member Evaluation'!$DE$5:$DE$121,0)),"")</f>
        <v/>
      </c>
    </row>
    <row r="130" spans="1:5" ht="15.75" customHeight="1" x14ac:dyDescent="0.25">
      <c r="A130" s="18">
        <v>129</v>
      </c>
      <c r="B130" s="18" t="str">
        <f>IFERROR(INDEX('Member Evaluation'!$A$5:$A$121,MATCH(LARGE('Member Evaluation'!$DE$5:$DE$121,129),'Member Evaluation'!$DE$5:$DE$121,0)),"")</f>
        <v/>
      </c>
      <c r="C130" s="18" t="str">
        <f t="shared" ref="C130:C193" si="2">IF(B130="","","OR")</f>
        <v/>
      </c>
      <c r="D130" s="18" t="str">
        <f>IFERROR(INDEX('Member Evaluation'!$CZ$5:$CZ$121, MATCH(LARGE('Member Evaluation'!$DE$5:$DE$121, ROW(A129)), 'Member Evaluation'!$DE$5:$DE$121, 0)), "")</f>
        <v/>
      </c>
      <c r="E130" s="18" t="str">
        <f>IFERROR(INDEX('Member Evaluation'!$DB$5:$DB$121,MATCH(LARGE('Member Evaluation'!$DE$5:$DE$121,129),'Member Evaluation'!$DE$5:$DE$121,0)),"")</f>
        <v/>
      </c>
    </row>
    <row r="131" spans="1:5" ht="15.75" customHeight="1" x14ac:dyDescent="0.25">
      <c r="A131" s="18">
        <v>130</v>
      </c>
      <c r="B131" s="18" t="str">
        <f>IFERROR(INDEX('Member Evaluation'!$A$5:$A$121,MATCH(LARGE('Member Evaluation'!$DE$5:$DE$121,130),'Member Evaluation'!$DE$5:$DE$121,0)),"")</f>
        <v/>
      </c>
      <c r="C131" s="18" t="str">
        <f t="shared" si="2"/>
        <v/>
      </c>
      <c r="D131" s="18" t="str">
        <f>IFERROR(INDEX('Member Evaluation'!$CZ$5:$CZ$121, MATCH(LARGE('Member Evaluation'!$DE$5:$DE$121, ROW(A130)), 'Member Evaluation'!$DE$5:$DE$121, 0)), "")</f>
        <v/>
      </c>
      <c r="E131" s="18" t="str">
        <f>IFERROR(INDEX('Member Evaluation'!$DB$5:$DB$121,MATCH(LARGE('Member Evaluation'!$DE$5:$DE$121,130),'Member Evaluation'!$DE$5:$DE$121,0)),"")</f>
        <v/>
      </c>
    </row>
    <row r="132" spans="1:5" ht="15.75" customHeight="1" x14ac:dyDescent="0.25">
      <c r="A132" s="18">
        <v>131</v>
      </c>
      <c r="B132" s="18" t="str">
        <f>IFERROR(INDEX('Member Evaluation'!$A$5:$A$121,MATCH(LARGE('Member Evaluation'!$DE$5:$DE$121,131),'Member Evaluation'!$DE$5:$DE$121,0)),"")</f>
        <v/>
      </c>
      <c r="C132" s="18" t="str">
        <f t="shared" si="2"/>
        <v/>
      </c>
      <c r="D132" s="18" t="str">
        <f>IFERROR(INDEX('Member Evaluation'!$CZ$5:$CZ$121, MATCH(LARGE('Member Evaluation'!$DE$5:$DE$121, ROW(A131)), 'Member Evaluation'!$DE$5:$DE$121, 0)), "")</f>
        <v/>
      </c>
      <c r="E132" s="18" t="str">
        <f>IFERROR(INDEX('Member Evaluation'!$DB$5:$DB$121,MATCH(LARGE('Member Evaluation'!$DE$5:$DE$121,131),'Member Evaluation'!$DE$5:$DE$121,0)),"")</f>
        <v/>
      </c>
    </row>
    <row r="133" spans="1:5" ht="15.75" customHeight="1" x14ac:dyDescent="0.25">
      <c r="A133" s="18">
        <v>132</v>
      </c>
      <c r="B133" s="18" t="str">
        <f>IFERROR(INDEX('Member Evaluation'!$A$5:$A$121,MATCH(LARGE('Member Evaluation'!$DE$5:$DE$121,132),'Member Evaluation'!$DE$5:$DE$121,0)),"")</f>
        <v/>
      </c>
      <c r="C133" s="18" t="str">
        <f t="shared" si="2"/>
        <v/>
      </c>
      <c r="D133" s="18" t="str">
        <f>IFERROR(INDEX('Member Evaluation'!$CZ$5:$CZ$121, MATCH(LARGE('Member Evaluation'!$DE$5:$DE$121, ROW(A132)), 'Member Evaluation'!$DE$5:$DE$121, 0)), "")</f>
        <v/>
      </c>
      <c r="E133" s="18" t="str">
        <f>IFERROR(INDEX('Member Evaluation'!$DB$5:$DB$121,MATCH(LARGE('Member Evaluation'!$DE$5:$DE$121,132),'Member Evaluation'!$DE$5:$DE$121,0)),"")</f>
        <v/>
      </c>
    </row>
    <row r="134" spans="1:5" ht="15.75" customHeight="1" x14ac:dyDescent="0.25">
      <c r="A134" s="18">
        <v>133</v>
      </c>
      <c r="B134" s="18" t="str">
        <f>IFERROR(INDEX('Member Evaluation'!$A$5:$A$121,MATCH(LARGE('Member Evaluation'!$DE$5:$DE$121,133),'Member Evaluation'!$DE$5:$DE$121,0)),"")</f>
        <v/>
      </c>
      <c r="C134" s="18" t="str">
        <f t="shared" si="2"/>
        <v/>
      </c>
      <c r="D134" s="18" t="str">
        <f>IFERROR(INDEX('Member Evaluation'!$CZ$5:$CZ$121, MATCH(LARGE('Member Evaluation'!$DE$5:$DE$121, ROW(A133)), 'Member Evaluation'!$DE$5:$DE$121, 0)), "")</f>
        <v/>
      </c>
      <c r="E134" s="18" t="str">
        <f>IFERROR(INDEX('Member Evaluation'!$DB$5:$DB$121,MATCH(LARGE('Member Evaluation'!$DE$5:$DE$121,133),'Member Evaluation'!$DE$5:$DE$121,0)),"")</f>
        <v/>
      </c>
    </row>
    <row r="135" spans="1:5" ht="15.75" customHeight="1" x14ac:dyDescent="0.25">
      <c r="A135" s="18">
        <v>134</v>
      </c>
      <c r="B135" s="18" t="str">
        <f>IFERROR(INDEX('Member Evaluation'!$A$5:$A$121,MATCH(LARGE('Member Evaluation'!$DE$5:$DE$121,134),'Member Evaluation'!$DE$5:$DE$121,0)),"")</f>
        <v/>
      </c>
      <c r="C135" s="18" t="str">
        <f t="shared" si="2"/>
        <v/>
      </c>
      <c r="D135" s="18" t="str">
        <f>IFERROR(INDEX('Member Evaluation'!$CZ$5:$CZ$121, MATCH(LARGE('Member Evaluation'!$DE$5:$DE$121, ROW(A134)), 'Member Evaluation'!$DE$5:$DE$121, 0)), "")</f>
        <v/>
      </c>
      <c r="E135" s="18" t="str">
        <f>IFERROR(INDEX('Member Evaluation'!$DB$5:$DB$121,MATCH(LARGE('Member Evaluation'!$DE$5:$DE$121,134),'Member Evaluation'!$DE$5:$DE$121,0)),"")</f>
        <v/>
      </c>
    </row>
    <row r="136" spans="1:5" ht="15.75" customHeight="1" x14ac:dyDescent="0.25">
      <c r="A136" s="18">
        <v>135</v>
      </c>
      <c r="B136" s="18" t="str">
        <f>IFERROR(INDEX('Member Evaluation'!$A$5:$A$121,MATCH(LARGE('Member Evaluation'!$DE$5:$DE$121,135),'Member Evaluation'!$DE$5:$DE$121,0)),"")</f>
        <v/>
      </c>
      <c r="C136" s="18" t="str">
        <f t="shared" si="2"/>
        <v/>
      </c>
      <c r="D136" s="18" t="str">
        <f>IFERROR(INDEX('Member Evaluation'!$CZ$5:$CZ$121, MATCH(LARGE('Member Evaluation'!$DE$5:$DE$121, ROW(A135)), 'Member Evaluation'!$DE$5:$DE$121, 0)), "")</f>
        <v/>
      </c>
      <c r="E136" s="18" t="str">
        <f>IFERROR(INDEX('Member Evaluation'!$DB$5:$DB$121,MATCH(LARGE('Member Evaluation'!$DE$5:$DE$121,135),'Member Evaluation'!$DE$5:$DE$121,0)),"")</f>
        <v/>
      </c>
    </row>
    <row r="137" spans="1:5" ht="15.75" customHeight="1" x14ac:dyDescent="0.25">
      <c r="A137" s="18">
        <v>136</v>
      </c>
      <c r="B137" s="18" t="str">
        <f>IFERROR(INDEX('Member Evaluation'!$A$5:$A$121,MATCH(LARGE('Member Evaluation'!$DE$5:$DE$121,136),'Member Evaluation'!$DE$5:$DE$121,0)),"")</f>
        <v/>
      </c>
      <c r="C137" s="18" t="str">
        <f t="shared" si="2"/>
        <v/>
      </c>
      <c r="D137" s="18" t="str">
        <f>IFERROR(INDEX('Member Evaluation'!$CZ$5:$CZ$121, MATCH(LARGE('Member Evaluation'!$DE$5:$DE$121, ROW(A136)), 'Member Evaluation'!$DE$5:$DE$121, 0)), "")</f>
        <v/>
      </c>
      <c r="E137" s="18" t="str">
        <f>IFERROR(INDEX('Member Evaluation'!$DB$5:$DB$121,MATCH(LARGE('Member Evaluation'!$DE$5:$DE$121,136),'Member Evaluation'!$DE$5:$DE$121,0)),"")</f>
        <v/>
      </c>
    </row>
    <row r="138" spans="1:5" ht="15.75" customHeight="1" x14ac:dyDescent="0.25">
      <c r="A138" s="18">
        <v>137</v>
      </c>
      <c r="B138" s="18" t="str">
        <f>IFERROR(INDEX('Member Evaluation'!$A$5:$A$121,MATCH(LARGE('Member Evaluation'!$DE$5:$DE$121,137),'Member Evaluation'!$DE$5:$DE$121,0)),"")</f>
        <v/>
      </c>
      <c r="C138" s="18" t="str">
        <f t="shared" si="2"/>
        <v/>
      </c>
      <c r="D138" s="18" t="str">
        <f>IFERROR(INDEX('Member Evaluation'!$CZ$5:$CZ$121, MATCH(LARGE('Member Evaluation'!$DE$5:$DE$121, ROW(A137)), 'Member Evaluation'!$DE$5:$DE$121, 0)), "")</f>
        <v/>
      </c>
      <c r="E138" s="18" t="str">
        <f>IFERROR(INDEX('Member Evaluation'!$DB$5:$DB$121,MATCH(LARGE('Member Evaluation'!$DE$5:$DE$121,137),'Member Evaluation'!$DE$5:$DE$121,0)),"")</f>
        <v/>
      </c>
    </row>
    <row r="139" spans="1:5" ht="15.75" customHeight="1" x14ac:dyDescent="0.25">
      <c r="A139" s="18">
        <v>138</v>
      </c>
      <c r="B139" s="18" t="str">
        <f>IFERROR(INDEX('Member Evaluation'!$A$5:$A$121,MATCH(LARGE('Member Evaluation'!$DE$5:$DE$121,138),'Member Evaluation'!$DE$5:$DE$121,0)),"")</f>
        <v/>
      </c>
      <c r="C139" s="18" t="str">
        <f t="shared" si="2"/>
        <v/>
      </c>
      <c r="D139" s="18" t="str">
        <f>IFERROR(INDEX('Member Evaluation'!$CZ$5:$CZ$121, MATCH(LARGE('Member Evaluation'!$DE$5:$DE$121, ROW(A138)), 'Member Evaluation'!$DE$5:$DE$121, 0)), "")</f>
        <v/>
      </c>
      <c r="E139" s="18" t="str">
        <f>IFERROR(INDEX('Member Evaluation'!$DB$5:$DB$121,MATCH(LARGE('Member Evaluation'!$DE$5:$DE$121,138),'Member Evaluation'!$DE$5:$DE$121,0)),"")</f>
        <v/>
      </c>
    </row>
    <row r="140" spans="1:5" ht="15.75" customHeight="1" x14ac:dyDescent="0.25">
      <c r="A140" s="18">
        <v>139</v>
      </c>
      <c r="B140" s="18" t="str">
        <f>IFERROR(INDEX('Member Evaluation'!$A$5:$A$121,MATCH(LARGE('Member Evaluation'!$DE$5:$DE$121,139),'Member Evaluation'!$DE$5:$DE$121,0)),"")</f>
        <v/>
      </c>
      <c r="C140" s="18" t="str">
        <f t="shared" si="2"/>
        <v/>
      </c>
      <c r="D140" s="18" t="str">
        <f>IFERROR(INDEX('Member Evaluation'!$CZ$5:$CZ$121, MATCH(LARGE('Member Evaluation'!$DE$5:$DE$121, ROW(A139)), 'Member Evaluation'!$DE$5:$DE$121, 0)), "")</f>
        <v/>
      </c>
      <c r="E140" s="18" t="str">
        <f>IFERROR(INDEX('Member Evaluation'!$DB$5:$DB$121,MATCH(LARGE('Member Evaluation'!$DE$5:$DE$121,139),'Member Evaluation'!$DE$5:$DE$121,0)),"")</f>
        <v/>
      </c>
    </row>
    <row r="141" spans="1:5" ht="15.75" customHeight="1" x14ac:dyDescent="0.25">
      <c r="A141" s="18">
        <v>140</v>
      </c>
      <c r="B141" s="18" t="str">
        <f>IFERROR(INDEX('Member Evaluation'!$A$5:$A$121,MATCH(LARGE('Member Evaluation'!$DE$5:$DE$121,140),'Member Evaluation'!$DE$5:$DE$121,0)),"")</f>
        <v/>
      </c>
      <c r="C141" s="18" t="str">
        <f t="shared" si="2"/>
        <v/>
      </c>
      <c r="D141" s="18" t="str">
        <f>IFERROR(INDEX('Member Evaluation'!$CZ$5:$CZ$121, MATCH(LARGE('Member Evaluation'!$DE$5:$DE$121, ROW(A140)), 'Member Evaluation'!$DE$5:$DE$121, 0)), "")</f>
        <v/>
      </c>
      <c r="E141" s="18" t="str">
        <f>IFERROR(INDEX('Member Evaluation'!$DB$5:$DB$121,MATCH(LARGE('Member Evaluation'!$DE$5:$DE$121,140),'Member Evaluation'!$DE$5:$DE$121,0)),"")</f>
        <v/>
      </c>
    </row>
    <row r="142" spans="1:5" ht="15.75" customHeight="1" x14ac:dyDescent="0.25">
      <c r="A142" s="18">
        <v>141</v>
      </c>
      <c r="B142" s="18" t="str">
        <f>IFERROR(INDEX('Member Evaluation'!$A$5:$A$121,MATCH(LARGE('Member Evaluation'!$DE$5:$DE$121,141),'Member Evaluation'!$DE$5:$DE$121,0)),"")</f>
        <v/>
      </c>
      <c r="C142" s="18" t="str">
        <f t="shared" si="2"/>
        <v/>
      </c>
      <c r="D142" s="18" t="str">
        <f>IFERROR(INDEX('Member Evaluation'!$CZ$5:$CZ$121, MATCH(LARGE('Member Evaluation'!$DE$5:$DE$121, ROW(A141)), 'Member Evaluation'!$DE$5:$DE$121, 0)), "")</f>
        <v/>
      </c>
      <c r="E142" s="18" t="str">
        <f>IFERROR(INDEX('Member Evaluation'!$DB$5:$DB$121,MATCH(LARGE('Member Evaluation'!$DE$5:$DE$121,141),'Member Evaluation'!$DE$5:$DE$121,0)),"")</f>
        <v/>
      </c>
    </row>
    <row r="143" spans="1:5" ht="15.75" customHeight="1" x14ac:dyDescent="0.25">
      <c r="A143" s="18">
        <v>142</v>
      </c>
      <c r="B143" s="18" t="str">
        <f>IFERROR(INDEX('Member Evaluation'!$A$5:$A$121,MATCH(LARGE('Member Evaluation'!$DE$5:$DE$121,142),'Member Evaluation'!$DE$5:$DE$121,0)),"")</f>
        <v/>
      </c>
      <c r="C143" s="18" t="str">
        <f t="shared" si="2"/>
        <v/>
      </c>
      <c r="D143" s="18" t="str">
        <f>IFERROR(INDEX('Member Evaluation'!$CZ$5:$CZ$121, MATCH(LARGE('Member Evaluation'!$DE$5:$DE$121, ROW(A142)), 'Member Evaluation'!$DE$5:$DE$121, 0)), "")</f>
        <v/>
      </c>
      <c r="E143" s="18" t="str">
        <f>IFERROR(INDEX('Member Evaluation'!$DB$5:$DB$121,MATCH(LARGE('Member Evaluation'!$DE$5:$DE$121,142),'Member Evaluation'!$DE$5:$DE$121,0)),"")</f>
        <v/>
      </c>
    </row>
    <row r="144" spans="1:5" ht="15.75" customHeight="1" x14ac:dyDescent="0.25">
      <c r="A144" s="18">
        <v>143</v>
      </c>
      <c r="B144" s="18" t="str">
        <f>IFERROR(INDEX('Member Evaluation'!$A$5:$A$121,MATCH(LARGE('Member Evaluation'!$DE$5:$DE$121,143),'Member Evaluation'!$DE$5:$DE$121,0)),"")</f>
        <v/>
      </c>
      <c r="C144" s="18" t="str">
        <f t="shared" si="2"/>
        <v/>
      </c>
      <c r="D144" s="18" t="str">
        <f>IFERROR(INDEX('Member Evaluation'!$CZ$5:$CZ$121, MATCH(LARGE('Member Evaluation'!$DE$5:$DE$121, ROW(A143)), 'Member Evaluation'!$DE$5:$DE$121, 0)), "")</f>
        <v/>
      </c>
      <c r="E144" s="18" t="str">
        <f>IFERROR(INDEX('Member Evaluation'!$DB$5:$DB$121,MATCH(LARGE('Member Evaluation'!$DE$5:$DE$121,143),'Member Evaluation'!$DE$5:$DE$121,0)),"")</f>
        <v/>
      </c>
    </row>
    <row r="145" spans="1:5" ht="15.75" customHeight="1" x14ac:dyDescent="0.25">
      <c r="A145" s="18">
        <v>144</v>
      </c>
      <c r="B145" s="18" t="str">
        <f>IFERROR(INDEX('Member Evaluation'!$A$5:$A$121,MATCH(LARGE('Member Evaluation'!$DE$5:$DE$121,144),'Member Evaluation'!$DE$5:$DE$121,0)),"")</f>
        <v/>
      </c>
      <c r="C145" s="18" t="str">
        <f t="shared" si="2"/>
        <v/>
      </c>
      <c r="D145" s="18" t="str">
        <f>IFERROR(INDEX('Member Evaluation'!$CZ$5:$CZ$121, MATCH(LARGE('Member Evaluation'!$DE$5:$DE$121, ROW(A144)), 'Member Evaluation'!$DE$5:$DE$121, 0)), "")</f>
        <v/>
      </c>
      <c r="E145" s="18" t="str">
        <f>IFERROR(INDEX('Member Evaluation'!$DB$5:$DB$121,MATCH(LARGE('Member Evaluation'!$DE$5:$DE$121,144),'Member Evaluation'!$DE$5:$DE$121,0)),"")</f>
        <v/>
      </c>
    </row>
    <row r="146" spans="1:5" ht="15.75" customHeight="1" x14ac:dyDescent="0.25">
      <c r="A146" s="18">
        <v>145</v>
      </c>
      <c r="B146" s="18" t="str">
        <f>IFERROR(INDEX('Member Evaluation'!$A$5:$A$121,MATCH(LARGE('Member Evaluation'!$DE$5:$DE$121,145),'Member Evaluation'!$DE$5:$DE$121,0)),"")</f>
        <v/>
      </c>
      <c r="C146" s="18" t="str">
        <f t="shared" si="2"/>
        <v/>
      </c>
      <c r="D146" s="18" t="str">
        <f>IFERROR(INDEX('Member Evaluation'!$CZ$5:$CZ$121, MATCH(LARGE('Member Evaluation'!$DE$5:$DE$121, ROW(A145)), 'Member Evaluation'!$DE$5:$DE$121, 0)), "")</f>
        <v/>
      </c>
      <c r="E146" s="18" t="str">
        <f>IFERROR(INDEX('Member Evaluation'!$DB$5:$DB$121,MATCH(LARGE('Member Evaluation'!$DE$5:$DE$121,145),'Member Evaluation'!$DE$5:$DE$121,0)),"")</f>
        <v/>
      </c>
    </row>
    <row r="147" spans="1:5" ht="15.75" customHeight="1" x14ac:dyDescent="0.25">
      <c r="A147" s="18">
        <v>146</v>
      </c>
      <c r="B147" s="18" t="str">
        <f>IFERROR(INDEX('Member Evaluation'!$A$5:$A$121,MATCH(LARGE('Member Evaluation'!$DE$5:$DE$121,146),'Member Evaluation'!$DE$5:$DE$121,0)),"")</f>
        <v/>
      </c>
      <c r="C147" s="18" t="str">
        <f t="shared" si="2"/>
        <v/>
      </c>
      <c r="D147" s="18" t="str">
        <f>IFERROR(INDEX('Member Evaluation'!$CZ$5:$CZ$121, MATCH(LARGE('Member Evaluation'!$DE$5:$DE$121, ROW(A146)), 'Member Evaluation'!$DE$5:$DE$121, 0)), "")</f>
        <v/>
      </c>
      <c r="E147" s="18" t="str">
        <f>IFERROR(INDEX('Member Evaluation'!$DB$5:$DB$121,MATCH(LARGE('Member Evaluation'!$DE$5:$DE$121,146),'Member Evaluation'!$DE$5:$DE$121,0)),"")</f>
        <v/>
      </c>
    </row>
    <row r="148" spans="1:5" ht="15.75" customHeight="1" x14ac:dyDescent="0.25">
      <c r="A148" s="18">
        <v>147</v>
      </c>
      <c r="B148" s="18" t="str">
        <f>IFERROR(INDEX('Member Evaluation'!$A$5:$A$121,MATCH(LARGE('Member Evaluation'!$DE$5:$DE$121,147),'Member Evaluation'!$DE$5:$DE$121,0)),"")</f>
        <v/>
      </c>
      <c r="C148" s="18" t="str">
        <f t="shared" si="2"/>
        <v/>
      </c>
      <c r="D148" s="18" t="str">
        <f>IFERROR(INDEX('Member Evaluation'!$CZ$5:$CZ$121, MATCH(LARGE('Member Evaluation'!$DE$5:$DE$121, ROW(A147)), 'Member Evaluation'!$DE$5:$DE$121, 0)), "")</f>
        <v/>
      </c>
      <c r="E148" s="18" t="str">
        <f>IFERROR(INDEX('Member Evaluation'!$DB$5:$DB$121,MATCH(LARGE('Member Evaluation'!$DE$5:$DE$121,147),'Member Evaluation'!$DE$5:$DE$121,0)),"")</f>
        <v/>
      </c>
    </row>
    <row r="149" spans="1:5" ht="15.75" customHeight="1" x14ac:dyDescent="0.25">
      <c r="A149" s="18">
        <v>148</v>
      </c>
      <c r="B149" s="18" t="str">
        <f>IFERROR(INDEX('Member Evaluation'!$A$5:$A$121,MATCH(LARGE('Member Evaluation'!$DE$5:$DE$121,148),'Member Evaluation'!$DE$5:$DE$121,0)),"")</f>
        <v/>
      </c>
      <c r="C149" s="18" t="str">
        <f t="shared" si="2"/>
        <v/>
      </c>
      <c r="D149" s="18" t="str">
        <f>IFERROR(INDEX('Member Evaluation'!$CZ$5:$CZ$121, MATCH(LARGE('Member Evaluation'!$DE$5:$DE$121, ROW(A148)), 'Member Evaluation'!$DE$5:$DE$121, 0)), "")</f>
        <v/>
      </c>
      <c r="E149" s="18" t="str">
        <f>IFERROR(INDEX('Member Evaluation'!$DB$5:$DB$121,MATCH(LARGE('Member Evaluation'!$DE$5:$DE$121,148),'Member Evaluation'!$DE$5:$DE$121,0)),"")</f>
        <v/>
      </c>
    </row>
    <row r="150" spans="1:5" ht="15.75" customHeight="1" x14ac:dyDescent="0.25">
      <c r="A150" s="18">
        <v>149</v>
      </c>
      <c r="B150" s="18" t="str">
        <f>IFERROR(INDEX('Member Evaluation'!$A$5:$A$121,MATCH(LARGE('Member Evaluation'!$DE$5:$DE$121,149),'Member Evaluation'!$DE$5:$DE$121,0)),"")</f>
        <v/>
      </c>
      <c r="C150" s="18" t="str">
        <f t="shared" si="2"/>
        <v/>
      </c>
      <c r="D150" s="18" t="str">
        <f>IFERROR(INDEX('Member Evaluation'!$CZ$5:$CZ$121, MATCH(LARGE('Member Evaluation'!$DE$5:$DE$121, ROW(A149)), 'Member Evaluation'!$DE$5:$DE$121, 0)), "")</f>
        <v/>
      </c>
      <c r="E150" s="18" t="str">
        <f>IFERROR(INDEX('Member Evaluation'!$DB$5:$DB$121,MATCH(LARGE('Member Evaluation'!$DE$5:$DE$121,149),'Member Evaluation'!$DE$5:$DE$121,0)),"")</f>
        <v/>
      </c>
    </row>
    <row r="151" spans="1:5" ht="15.75" customHeight="1" x14ac:dyDescent="0.25">
      <c r="A151" s="18">
        <v>150</v>
      </c>
      <c r="B151" s="18" t="str">
        <f>IFERROR(INDEX('Member Evaluation'!$A$5:$A$121,MATCH(LARGE('Member Evaluation'!$DE$5:$DE$121,150),'Member Evaluation'!$DE$5:$DE$121,0)),"")</f>
        <v/>
      </c>
      <c r="C151" s="18" t="str">
        <f t="shared" si="2"/>
        <v/>
      </c>
      <c r="D151" s="18" t="str">
        <f>IFERROR(INDEX('Member Evaluation'!$CZ$5:$CZ$121, MATCH(LARGE('Member Evaluation'!$DE$5:$DE$121, ROW(A150)), 'Member Evaluation'!$DE$5:$DE$121, 0)), "")</f>
        <v/>
      </c>
      <c r="E151" s="18" t="str">
        <f>IFERROR(INDEX('Member Evaluation'!$DB$5:$DB$121,MATCH(LARGE('Member Evaluation'!$DE$5:$DE$121,150),'Member Evaluation'!$DE$5:$DE$121,0)),"")</f>
        <v/>
      </c>
    </row>
    <row r="152" spans="1:5" ht="15.75" customHeight="1" x14ac:dyDescent="0.25">
      <c r="A152" s="18">
        <v>151</v>
      </c>
      <c r="B152" s="18" t="str">
        <f>IFERROR(INDEX('Member Evaluation'!$A$5:$A$121,MATCH(LARGE('Member Evaluation'!$DE$5:$DE$121,151),'Member Evaluation'!$DE$5:$DE$121,0)),"")</f>
        <v/>
      </c>
      <c r="C152" s="18" t="str">
        <f t="shared" si="2"/>
        <v/>
      </c>
      <c r="D152" s="18" t="str">
        <f>IFERROR(INDEX('Member Evaluation'!$CZ$5:$CZ$121, MATCH(LARGE('Member Evaluation'!$DE$5:$DE$121, ROW(A151)), 'Member Evaluation'!$DE$5:$DE$121, 0)), "")</f>
        <v/>
      </c>
      <c r="E152" s="18" t="str">
        <f>IFERROR(INDEX('Member Evaluation'!$DB$5:$DB$121,MATCH(LARGE('Member Evaluation'!$DE$5:$DE$121,151),'Member Evaluation'!$DE$5:$DE$121,0)),"")</f>
        <v/>
      </c>
    </row>
    <row r="153" spans="1:5" ht="15.75" customHeight="1" x14ac:dyDescent="0.25">
      <c r="A153" s="18">
        <v>152</v>
      </c>
      <c r="B153" s="18" t="str">
        <f>IFERROR(INDEX('Member Evaluation'!$A$5:$A$121,MATCH(LARGE('Member Evaluation'!$DE$5:$DE$121,152),'Member Evaluation'!$DE$5:$DE$121,0)),"")</f>
        <v/>
      </c>
      <c r="C153" s="18" t="str">
        <f t="shared" si="2"/>
        <v/>
      </c>
      <c r="D153" s="18" t="str">
        <f>IFERROR(INDEX('Member Evaluation'!$CZ$5:$CZ$121, MATCH(LARGE('Member Evaluation'!$DE$5:$DE$121, ROW(A152)), 'Member Evaluation'!$DE$5:$DE$121, 0)), "")</f>
        <v/>
      </c>
      <c r="E153" s="18" t="str">
        <f>IFERROR(INDEX('Member Evaluation'!$DB$5:$DB$121,MATCH(LARGE('Member Evaluation'!$DE$5:$DE$121,152),'Member Evaluation'!$DE$5:$DE$121,0)),"")</f>
        <v/>
      </c>
    </row>
    <row r="154" spans="1:5" ht="15.75" customHeight="1" x14ac:dyDescent="0.25">
      <c r="A154" s="18">
        <v>153</v>
      </c>
      <c r="B154" s="18" t="str">
        <f>IFERROR(INDEX('Member Evaluation'!$A$5:$A$121,MATCH(LARGE('Member Evaluation'!$DE$5:$DE$121,153),'Member Evaluation'!$DE$5:$DE$121,0)),"")</f>
        <v/>
      </c>
      <c r="C154" s="18" t="str">
        <f t="shared" si="2"/>
        <v/>
      </c>
      <c r="D154" s="18" t="str">
        <f>IFERROR(INDEX('Member Evaluation'!$CZ$5:$CZ$121, MATCH(LARGE('Member Evaluation'!$DE$5:$DE$121, ROW(A153)), 'Member Evaluation'!$DE$5:$DE$121, 0)), "")</f>
        <v/>
      </c>
      <c r="E154" s="18" t="str">
        <f>IFERROR(INDEX('Member Evaluation'!$DB$5:$DB$121,MATCH(LARGE('Member Evaluation'!$DE$5:$DE$121,153),'Member Evaluation'!$DE$5:$DE$121,0)),"")</f>
        <v/>
      </c>
    </row>
    <row r="155" spans="1:5" ht="15.75" customHeight="1" x14ac:dyDescent="0.25">
      <c r="A155" s="18">
        <v>154</v>
      </c>
      <c r="B155" s="18" t="str">
        <f>IFERROR(INDEX('Member Evaluation'!$A$5:$A$121,MATCH(LARGE('Member Evaluation'!$DE$5:$DE$121,154),'Member Evaluation'!$DE$5:$DE$121,0)),"")</f>
        <v/>
      </c>
      <c r="C155" s="18" t="str">
        <f t="shared" si="2"/>
        <v/>
      </c>
      <c r="D155" s="18" t="str">
        <f>IFERROR(INDEX('Member Evaluation'!$CZ$5:$CZ$121, MATCH(LARGE('Member Evaluation'!$DE$5:$DE$121, ROW(A154)), 'Member Evaluation'!$DE$5:$DE$121, 0)), "")</f>
        <v/>
      </c>
      <c r="E155" s="18" t="str">
        <f>IFERROR(INDEX('Member Evaluation'!$DB$5:$DB$121,MATCH(LARGE('Member Evaluation'!$DE$5:$DE$121,154),'Member Evaluation'!$DE$5:$DE$121,0)),"")</f>
        <v/>
      </c>
    </row>
    <row r="156" spans="1:5" ht="15.75" customHeight="1" x14ac:dyDescent="0.25">
      <c r="A156" s="18">
        <v>155</v>
      </c>
      <c r="B156" s="18" t="str">
        <f>IFERROR(INDEX('Member Evaluation'!$A$5:$A$121,MATCH(LARGE('Member Evaluation'!$DE$5:$DE$121,155),'Member Evaluation'!$DE$5:$DE$121,0)),"")</f>
        <v/>
      </c>
      <c r="C156" s="18" t="str">
        <f t="shared" si="2"/>
        <v/>
      </c>
      <c r="D156" s="18" t="str">
        <f>IFERROR(INDEX('Member Evaluation'!$CZ$5:$CZ$121, MATCH(LARGE('Member Evaluation'!$DE$5:$DE$121, ROW(A155)), 'Member Evaluation'!$DE$5:$DE$121, 0)), "")</f>
        <v/>
      </c>
      <c r="E156" s="18" t="str">
        <f>IFERROR(INDEX('Member Evaluation'!$DB$5:$DB$121,MATCH(LARGE('Member Evaluation'!$DE$5:$DE$121,155),'Member Evaluation'!$DE$5:$DE$121,0)),"")</f>
        <v/>
      </c>
    </row>
    <row r="157" spans="1:5" ht="15.75" customHeight="1" x14ac:dyDescent="0.25">
      <c r="A157" s="18">
        <v>156</v>
      </c>
      <c r="B157" s="18" t="str">
        <f>IFERROR(INDEX('Member Evaluation'!$A$5:$A$121,MATCH(LARGE('Member Evaluation'!$DE$5:$DE$121,156),'Member Evaluation'!$DE$5:$DE$121,0)),"")</f>
        <v/>
      </c>
      <c r="C157" s="18" t="str">
        <f t="shared" si="2"/>
        <v/>
      </c>
      <c r="D157" s="18" t="str">
        <f>IFERROR(INDEX('Member Evaluation'!$CZ$5:$CZ$121, MATCH(LARGE('Member Evaluation'!$DE$5:$DE$121, ROW(A156)), 'Member Evaluation'!$DE$5:$DE$121, 0)), "")</f>
        <v/>
      </c>
      <c r="E157" s="18" t="str">
        <f>IFERROR(INDEX('Member Evaluation'!$DB$5:$DB$121,MATCH(LARGE('Member Evaluation'!$DE$5:$DE$121,156),'Member Evaluation'!$DE$5:$DE$121,0)),"")</f>
        <v/>
      </c>
    </row>
    <row r="158" spans="1:5" ht="15.75" customHeight="1" x14ac:dyDescent="0.25">
      <c r="A158" s="18">
        <v>157</v>
      </c>
      <c r="B158" s="18" t="str">
        <f>IFERROR(INDEX('Member Evaluation'!$A$5:$A$121,MATCH(LARGE('Member Evaluation'!$DE$5:$DE$121,157),'Member Evaluation'!$DE$5:$DE$121,0)),"")</f>
        <v/>
      </c>
      <c r="C158" s="18" t="str">
        <f t="shared" si="2"/>
        <v/>
      </c>
      <c r="D158" s="18" t="str">
        <f>IFERROR(INDEX('Member Evaluation'!$CZ$5:$CZ$121, MATCH(LARGE('Member Evaluation'!$DE$5:$DE$121, ROW(A157)), 'Member Evaluation'!$DE$5:$DE$121, 0)), "")</f>
        <v/>
      </c>
      <c r="E158" s="18" t="str">
        <f>IFERROR(INDEX('Member Evaluation'!$DB$5:$DB$121,MATCH(LARGE('Member Evaluation'!$DE$5:$DE$121,157),'Member Evaluation'!$DE$5:$DE$121,0)),"")</f>
        <v/>
      </c>
    </row>
    <row r="159" spans="1:5" ht="15.75" customHeight="1" x14ac:dyDescent="0.25">
      <c r="A159" s="18">
        <v>158</v>
      </c>
      <c r="B159" s="18" t="str">
        <f>IFERROR(INDEX('Member Evaluation'!$A$5:$A$121,MATCH(LARGE('Member Evaluation'!$DE$5:$DE$121,158),'Member Evaluation'!$DE$5:$DE$121,0)),"")</f>
        <v/>
      </c>
      <c r="C159" s="18" t="str">
        <f t="shared" si="2"/>
        <v/>
      </c>
      <c r="D159" s="18" t="str">
        <f>IFERROR(INDEX('Member Evaluation'!$CZ$5:$CZ$121, MATCH(LARGE('Member Evaluation'!$DE$5:$DE$121, ROW(A158)), 'Member Evaluation'!$DE$5:$DE$121, 0)), "")</f>
        <v/>
      </c>
      <c r="E159" s="18" t="str">
        <f>IFERROR(INDEX('Member Evaluation'!$DB$5:$DB$121,MATCH(LARGE('Member Evaluation'!$DE$5:$DE$121,158),'Member Evaluation'!$DE$5:$DE$121,0)),"")</f>
        <v/>
      </c>
    </row>
    <row r="160" spans="1:5" ht="15.75" customHeight="1" x14ac:dyDescent="0.25">
      <c r="A160" s="18">
        <v>159</v>
      </c>
      <c r="B160" s="18" t="str">
        <f>IFERROR(INDEX('Member Evaluation'!$A$5:$A$121,MATCH(LARGE('Member Evaluation'!$DE$5:$DE$121,159),'Member Evaluation'!$DE$5:$DE$121,0)),"")</f>
        <v/>
      </c>
      <c r="C160" s="18" t="str">
        <f t="shared" si="2"/>
        <v/>
      </c>
      <c r="D160" s="18" t="str">
        <f>IFERROR(INDEX('Member Evaluation'!$CZ$5:$CZ$121, MATCH(LARGE('Member Evaluation'!$DE$5:$DE$121, ROW(A159)), 'Member Evaluation'!$DE$5:$DE$121, 0)), "")</f>
        <v/>
      </c>
      <c r="E160" s="18" t="str">
        <f>IFERROR(INDEX('Member Evaluation'!$DB$5:$DB$121,MATCH(LARGE('Member Evaluation'!$DE$5:$DE$121,159),'Member Evaluation'!$DE$5:$DE$121,0)),"")</f>
        <v/>
      </c>
    </row>
    <row r="161" spans="1:5" ht="15.75" customHeight="1" x14ac:dyDescent="0.25">
      <c r="A161" s="18">
        <v>160</v>
      </c>
      <c r="B161" s="18" t="str">
        <f>IFERROR(INDEX('Member Evaluation'!$A$5:$A$121,MATCH(LARGE('Member Evaluation'!$DE$5:$DE$121,160),'Member Evaluation'!$DE$5:$DE$121,0)),"")</f>
        <v/>
      </c>
      <c r="C161" s="18" t="str">
        <f t="shared" si="2"/>
        <v/>
      </c>
      <c r="D161" s="18" t="str">
        <f>IFERROR(INDEX('Member Evaluation'!$CZ$5:$CZ$121, MATCH(LARGE('Member Evaluation'!$DE$5:$DE$121, ROW(A160)), 'Member Evaluation'!$DE$5:$DE$121, 0)), "")</f>
        <v/>
      </c>
      <c r="E161" s="18" t="str">
        <f>IFERROR(INDEX('Member Evaluation'!$DB$5:$DB$121,MATCH(LARGE('Member Evaluation'!$DE$5:$DE$121,160),'Member Evaluation'!$DE$5:$DE$121,0)),"")</f>
        <v/>
      </c>
    </row>
    <row r="162" spans="1:5" ht="15.75" customHeight="1" x14ac:dyDescent="0.25">
      <c r="A162" s="18">
        <v>161</v>
      </c>
      <c r="B162" s="18" t="str">
        <f>IFERROR(INDEX('Member Evaluation'!$A$5:$A$121,MATCH(LARGE('Member Evaluation'!$DE$5:$DE$121,161),'Member Evaluation'!$DE$5:$DE$121,0)),"")</f>
        <v/>
      </c>
      <c r="C162" s="18" t="str">
        <f t="shared" si="2"/>
        <v/>
      </c>
      <c r="D162" s="18" t="str">
        <f>IFERROR(INDEX('Member Evaluation'!$CZ$5:$CZ$121, MATCH(LARGE('Member Evaluation'!$DE$5:$DE$121, ROW(A161)), 'Member Evaluation'!$DE$5:$DE$121, 0)), "")</f>
        <v/>
      </c>
      <c r="E162" s="18" t="str">
        <f>IFERROR(INDEX('Member Evaluation'!$DB$5:$DB$121,MATCH(LARGE('Member Evaluation'!$DE$5:$DE$121,161),'Member Evaluation'!$DE$5:$DE$121,0)),"")</f>
        <v/>
      </c>
    </row>
    <row r="163" spans="1:5" ht="15.75" customHeight="1" x14ac:dyDescent="0.25">
      <c r="A163" s="18">
        <v>162</v>
      </c>
      <c r="B163" s="18" t="str">
        <f>IFERROR(INDEX('Member Evaluation'!$A$5:$A$121,MATCH(LARGE('Member Evaluation'!$DE$5:$DE$121,162),'Member Evaluation'!$DE$5:$DE$121,0)),"")</f>
        <v/>
      </c>
      <c r="C163" s="18" t="str">
        <f t="shared" si="2"/>
        <v/>
      </c>
      <c r="D163" s="18" t="str">
        <f>IFERROR(INDEX('Member Evaluation'!$CZ$5:$CZ$121, MATCH(LARGE('Member Evaluation'!$DE$5:$DE$121, ROW(A162)), 'Member Evaluation'!$DE$5:$DE$121, 0)), "")</f>
        <v/>
      </c>
      <c r="E163" s="18" t="str">
        <f>IFERROR(INDEX('Member Evaluation'!$DB$5:$DB$121,MATCH(LARGE('Member Evaluation'!$DE$5:$DE$121,162),'Member Evaluation'!$DE$5:$DE$121,0)),"")</f>
        <v/>
      </c>
    </row>
    <row r="164" spans="1:5" ht="15.75" customHeight="1" x14ac:dyDescent="0.25">
      <c r="A164" s="18">
        <v>163</v>
      </c>
      <c r="B164" s="18" t="str">
        <f>IFERROR(INDEX('Member Evaluation'!$A$5:$A$121,MATCH(LARGE('Member Evaluation'!$DE$5:$DE$121,163),'Member Evaluation'!$DE$5:$DE$121,0)),"")</f>
        <v/>
      </c>
      <c r="C164" s="18" t="str">
        <f t="shared" si="2"/>
        <v/>
      </c>
      <c r="D164" s="18" t="str">
        <f>IFERROR(INDEX('Member Evaluation'!$CZ$5:$CZ$121, MATCH(LARGE('Member Evaluation'!$DE$5:$DE$121, ROW(A163)), 'Member Evaluation'!$DE$5:$DE$121, 0)), "")</f>
        <v/>
      </c>
      <c r="E164" s="18" t="str">
        <f>IFERROR(INDEX('Member Evaluation'!$DB$5:$DB$121,MATCH(LARGE('Member Evaluation'!$DE$5:$DE$121,163),'Member Evaluation'!$DE$5:$DE$121,0)),"")</f>
        <v/>
      </c>
    </row>
    <row r="165" spans="1:5" ht="15.75" customHeight="1" x14ac:dyDescent="0.25">
      <c r="A165" s="18">
        <v>164</v>
      </c>
      <c r="B165" s="18" t="str">
        <f>IFERROR(INDEX('Member Evaluation'!$A$5:$A$121,MATCH(LARGE('Member Evaluation'!$DE$5:$DE$121,164),'Member Evaluation'!$DE$5:$DE$121,0)),"")</f>
        <v/>
      </c>
      <c r="C165" s="18" t="str">
        <f t="shared" si="2"/>
        <v/>
      </c>
      <c r="D165" s="18" t="str">
        <f>IFERROR(INDEX('Member Evaluation'!$CZ$5:$CZ$121, MATCH(LARGE('Member Evaluation'!$DE$5:$DE$121, ROW(A164)), 'Member Evaluation'!$DE$5:$DE$121, 0)), "")</f>
        <v/>
      </c>
      <c r="E165" s="18" t="str">
        <f>IFERROR(INDEX('Member Evaluation'!$DB$5:$DB$121,MATCH(LARGE('Member Evaluation'!$DE$5:$DE$121,164),'Member Evaluation'!$DE$5:$DE$121,0)),"")</f>
        <v/>
      </c>
    </row>
    <row r="166" spans="1:5" ht="15.75" customHeight="1" x14ac:dyDescent="0.25">
      <c r="A166" s="18">
        <v>165</v>
      </c>
      <c r="B166" s="18" t="str">
        <f>IFERROR(INDEX('Member Evaluation'!$A$5:$A$121,MATCH(LARGE('Member Evaluation'!$DE$5:$DE$121,165),'Member Evaluation'!$DE$5:$DE$121,0)),"")</f>
        <v/>
      </c>
      <c r="C166" s="18" t="str">
        <f t="shared" si="2"/>
        <v/>
      </c>
      <c r="D166" s="18" t="str">
        <f>IFERROR(INDEX('Member Evaluation'!$CZ$5:$CZ$121, MATCH(LARGE('Member Evaluation'!$DE$5:$DE$121, ROW(A165)), 'Member Evaluation'!$DE$5:$DE$121, 0)), "")</f>
        <v/>
      </c>
      <c r="E166" s="18" t="str">
        <f>IFERROR(INDEX('Member Evaluation'!$DB$5:$DB$121,MATCH(LARGE('Member Evaluation'!$DE$5:$DE$121,165),'Member Evaluation'!$DE$5:$DE$121,0)),"")</f>
        <v/>
      </c>
    </row>
    <row r="167" spans="1:5" ht="15.75" customHeight="1" x14ac:dyDescent="0.25">
      <c r="A167" s="18">
        <v>166</v>
      </c>
      <c r="B167" s="18" t="str">
        <f>IFERROR(INDEX('Member Evaluation'!$A$5:$A$121,MATCH(LARGE('Member Evaluation'!$DE$5:$DE$121,166),'Member Evaluation'!$DE$5:$DE$121,0)),"")</f>
        <v/>
      </c>
      <c r="C167" s="18" t="str">
        <f t="shared" si="2"/>
        <v/>
      </c>
      <c r="D167" s="18" t="str">
        <f>IFERROR(INDEX('Member Evaluation'!$CZ$5:$CZ$121, MATCH(LARGE('Member Evaluation'!$DE$5:$DE$121, ROW(A166)), 'Member Evaluation'!$DE$5:$DE$121, 0)), "")</f>
        <v/>
      </c>
      <c r="E167" s="18" t="str">
        <f>IFERROR(INDEX('Member Evaluation'!$DB$5:$DB$121,MATCH(LARGE('Member Evaluation'!$DE$5:$DE$121,166),'Member Evaluation'!$DE$5:$DE$121,0)),"")</f>
        <v/>
      </c>
    </row>
    <row r="168" spans="1:5" ht="15.75" customHeight="1" x14ac:dyDescent="0.25">
      <c r="A168" s="18">
        <v>167</v>
      </c>
      <c r="B168" s="18" t="str">
        <f>IFERROR(INDEX('Member Evaluation'!$A$5:$A$121,MATCH(LARGE('Member Evaluation'!$DE$5:$DE$121,167),'Member Evaluation'!$DE$5:$DE$121,0)),"")</f>
        <v/>
      </c>
      <c r="C168" s="18" t="str">
        <f t="shared" si="2"/>
        <v/>
      </c>
      <c r="D168" s="18" t="str">
        <f>IFERROR(INDEX('Member Evaluation'!$CZ$5:$CZ$121, MATCH(LARGE('Member Evaluation'!$DE$5:$DE$121, ROW(A167)), 'Member Evaluation'!$DE$5:$DE$121, 0)), "")</f>
        <v/>
      </c>
      <c r="E168" s="18" t="str">
        <f>IFERROR(INDEX('Member Evaluation'!$DB$5:$DB$121,MATCH(LARGE('Member Evaluation'!$DE$5:$DE$121,167),'Member Evaluation'!$DE$5:$DE$121,0)),"")</f>
        <v/>
      </c>
    </row>
    <row r="169" spans="1:5" ht="15.75" customHeight="1" x14ac:dyDescent="0.25">
      <c r="A169" s="18">
        <v>168</v>
      </c>
      <c r="B169" s="18" t="str">
        <f>IFERROR(INDEX('Member Evaluation'!$A$5:$A$121,MATCH(LARGE('Member Evaluation'!$DE$5:$DE$121,168),'Member Evaluation'!$DE$5:$DE$121,0)),"")</f>
        <v/>
      </c>
      <c r="C169" s="18" t="str">
        <f t="shared" si="2"/>
        <v/>
      </c>
      <c r="D169" s="18" t="str">
        <f>IFERROR(INDEX('Member Evaluation'!$CZ$5:$CZ$121, MATCH(LARGE('Member Evaluation'!$DE$5:$DE$121, ROW(A168)), 'Member Evaluation'!$DE$5:$DE$121, 0)), "")</f>
        <v/>
      </c>
      <c r="E169" s="18" t="str">
        <f>IFERROR(INDEX('Member Evaluation'!$DB$5:$DB$121,MATCH(LARGE('Member Evaluation'!$DE$5:$DE$121,168),'Member Evaluation'!$DE$5:$DE$121,0)),"")</f>
        <v/>
      </c>
    </row>
    <row r="170" spans="1:5" ht="15.75" customHeight="1" x14ac:dyDescent="0.25">
      <c r="A170" s="18">
        <v>169</v>
      </c>
      <c r="B170" s="18" t="str">
        <f>IFERROR(INDEX('Member Evaluation'!$A$5:$A$121,MATCH(LARGE('Member Evaluation'!$DE$5:$DE$121,169),'Member Evaluation'!$DE$5:$DE$121,0)),"")</f>
        <v/>
      </c>
      <c r="C170" s="18" t="str">
        <f t="shared" si="2"/>
        <v/>
      </c>
      <c r="D170" s="18" t="str">
        <f>IFERROR(INDEX('Member Evaluation'!$CZ$5:$CZ$121, MATCH(LARGE('Member Evaluation'!$DE$5:$DE$121, ROW(A169)), 'Member Evaluation'!$DE$5:$DE$121, 0)), "")</f>
        <v/>
      </c>
      <c r="E170" s="18" t="str">
        <f>IFERROR(INDEX('Member Evaluation'!$DB$5:$DB$121,MATCH(LARGE('Member Evaluation'!$DE$5:$DE$121,169),'Member Evaluation'!$DE$5:$DE$121,0)),"")</f>
        <v/>
      </c>
    </row>
    <row r="171" spans="1:5" ht="15.75" customHeight="1" x14ac:dyDescent="0.25">
      <c r="A171" s="18">
        <v>170</v>
      </c>
      <c r="B171" s="18" t="str">
        <f>IFERROR(INDEX('Member Evaluation'!$A$5:$A$121,MATCH(LARGE('Member Evaluation'!$DE$5:$DE$121,170),'Member Evaluation'!$DE$5:$DE$121,0)),"")</f>
        <v/>
      </c>
      <c r="C171" s="18" t="str">
        <f t="shared" si="2"/>
        <v/>
      </c>
      <c r="D171" s="18" t="str">
        <f>IFERROR(INDEX('Member Evaluation'!$CZ$5:$CZ$121, MATCH(LARGE('Member Evaluation'!$DE$5:$DE$121, ROW(A170)), 'Member Evaluation'!$DE$5:$DE$121, 0)), "")</f>
        <v/>
      </c>
      <c r="E171" s="18" t="str">
        <f>IFERROR(INDEX('Member Evaluation'!$DB$5:$DB$121,MATCH(LARGE('Member Evaluation'!$DE$5:$DE$121,170),'Member Evaluation'!$DE$5:$DE$121,0)),"")</f>
        <v/>
      </c>
    </row>
    <row r="172" spans="1:5" ht="15.75" customHeight="1" x14ac:dyDescent="0.25">
      <c r="A172" s="18">
        <v>171</v>
      </c>
      <c r="B172" s="18" t="str">
        <f>IFERROR(INDEX('Member Evaluation'!$A$5:$A$121,MATCH(LARGE('Member Evaluation'!$DE$5:$DE$121,171),'Member Evaluation'!$DE$5:$DE$121,0)),"")</f>
        <v/>
      </c>
      <c r="C172" s="18" t="str">
        <f t="shared" si="2"/>
        <v/>
      </c>
      <c r="D172" s="18" t="str">
        <f>IFERROR(INDEX('Member Evaluation'!$CZ$5:$CZ$121, MATCH(LARGE('Member Evaluation'!$DE$5:$DE$121, ROW(A171)), 'Member Evaluation'!$DE$5:$DE$121, 0)), "")</f>
        <v/>
      </c>
      <c r="E172" s="18" t="str">
        <f>IFERROR(INDEX('Member Evaluation'!$DB$5:$DB$121,MATCH(LARGE('Member Evaluation'!$DE$5:$DE$121,171),'Member Evaluation'!$DE$5:$DE$121,0)),"")</f>
        <v/>
      </c>
    </row>
    <row r="173" spans="1:5" ht="15.75" customHeight="1" x14ac:dyDescent="0.25">
      <c r="A173" s="18">
        <v>172</v>
      </c>
      <c r="B173" s="18" t="str">
        <f>IFERROR(INDEX('Member Evaluation'!$A$5:$A$121,MATCH(LARGE('Member Evaluation'!$DE$5:$DE$121,172),'Member Evaluation'!$DE$5:$DE$121,0)),"")</f>
        <v/>
      </c>
      <c r="C173" s="18" t="str">
        <f t="shared" si="2"/>
        <v/>
      </c>
      <c r="D173" s="18" t="str">
        <f>IFERROR(INDEX('Member Evaluation'!$CZ$5:$CZ$121, MATCH(LARGE('Member Evaluation'!$DE$5:$DE$121, ROW(A172)), 'Member Evaluation'!$DE$5:$DE$121, 0)), "")</f>
        <v/>
      </c>
      <c r="E173" s="18" t="str">
        <f>IFERROR(INDEX('Member Evaluation'!$DB$5:$DB$121,MATCH(LARGE('Member Evaluation'!$DE$5:$DE$121,172),'Member Evaluation'!$DE$5:$DE$121,0)),"")</f>
        <v/>
      </c>
    </row>
    <row r="174" spans="1:5" ht="15.75" customHeight="1" x14ac:dyDescent="0.25">
      <c r="A174" s="18">
        <v>173</v>
      </c>
      <c r="B174" s="18" t="str">
        <f>IFERROR(INDEX('Member Evaluation'!$A$5:$A$121,MATCH(LARGE('Member Evaluation'!$DE$5:$DE$121,173),'Member Evaluation'!$DE$5:$DE$121,0)),"")</f>
        <v/>
      </c>
      <c r="C174" s="18" t="str">
        <f t="shared" si="2"/>
        <v/>
      </c>
      <c r="D174" s="18" t="str">
        <f>IFERROR(INDEX('Member Evaluation'!$CZ$5:$CZ$121, MATCH(LARGE('Member Evaluation'!$DE$5:$DE$121, ROW(A173)), 'Member Evaluation'!$DE$5:$DE$121, 0)), "")</f>
        <v/>
      </c>
      <c r="E174" s="18" t="str">
        <f>IFERROR(INDEX('Member Evaluation'!$DB$5:$DB$121,MATCH(LARGE('Member Evaluation'!$DE$5:$DE$121,173),'Member Evaluation'!$DE$5:$DE$121,0)),"")</f>
        <v/>
      </c>
    </row>
    <row r="175" spans="1:5" ht="15.75" customHeight="1" x14ac:dyDescent="0.25">
      <c r="A175" s="18">
        <v>174</v>
      </c>
      <c r="B175" s="18" t="str">
        <f>IFERROR(INDEX('Member Evaluation'!$A$5:$A$121,MATCH(LARGE('Member Evaluation'!$DE$5:$DE$121,174),'Member Evaluation'!$DE$5:$DE$121,0)),"")</f>
        <v/>
      </c>
      <c r="C175" s="18" t="str">
        <f t="shared" si="2"/>
        <v/>
      </c>
      <c r="D175" s="18" t="str">
        <f>IFERROR(INDEX('Member Evaluation'!$CZ$5:$CZ$121, MATCH(LARGE('Member Evaluation'!$DE$5:$DE$121, ROW(A174)), 'Member Evaluation'!$DE$5:$DE$121, 0)), "")</f>
        <v/>
      </c>
      <c r="E175" s="18" t="str">
        <f>IFERROR(INDEX('Member Evaluation'!$DB$5:$DB$121,MATCH(LARGE('Member Evaluation'!$DE$5:$DE$121,174),'Member Evaluation'!$DE$5:$DE$121,0)),"")</f>
        <v/>
      </c>
    </row>
    <row r="176" spans="1:5" ht="15.75" customHeight="1" x14ac:dyDescent="0.25">
      <c r="A176" s="18">
        <v>175</v>
      </c>
      <c r="B176" s="18" t="str">
        <f>IFERROR(INDEX('Member Evaluation'!$A$5:$A$121,MATCH(LARGE('Member Evaluation'!$DE$5:$DE$121,175),'Member Evaluation'!$DE$5:$DE$121,0)),"")</f>
        <v/>
      </c>
      <c r="C176" s="18" t="str">
        <f t="shared" si="2"/>
        <v/>
      </c>
      <c r="D176" s="18" t="str">
        <f>IFERROR(INDEX('Member Evaluation'!$CZ$5:$CZ$121, MATCH(LARGE('Member Evaluation'!$DE$5:$DE$121, ROW(A175)), 'Member Evaluation'!$DE$5:$DE$121, 0)), "")</f>
        <v/>
      </c>
      <c r="E176" s="18" t="str">
        <f>IFERROR(INDEX('Member Evaluation'!$DB$5:$DB$121,MATCH(LARGE('Member Evaluation'!$DE$5:$DE$121,175),'Member Evaluation'!$DE$5:$DE$121,0)),"")</f>
        <v/>
      </c>
    </row>
    <row r="177" spans="1:5" ht="15.75" customHeight="1" x14ac:dyDescent="0.25">
      <c r="A177" s="18">
        <v>176</v>
      </c>
      <c r="B177" s="18" t="str">
        <f>IFERROR(INDEX('Member Evaluation'!$A$5:$A$121,MATCH(LARGE('Member Evaluation'!$DE$5:$DE$121,176),'Member Evaluation'!$DE$5:$DE$121,0)),"")</f>
        <v/>
      </c>
      <c r="C177" s="18" t="str">
        <f t="shared" si="2"/>
        <v/>
      </c>
      <c r="D177" s="18" t="str">
        <f>IFERROR(INDEX('Member Evaluation'!$CZ$5:$CZ$121, MATCH(LARGE('Member Evaluation'!$DE$5:$DE$121, ROW(A176)), 'Member Evaluation'!$DE$5:$DE$121, 0)), "")</f>
        <v/>
      </c>
      <c r="E177" s="18" t="str">
        <f>IFERROR(INDEX('Member Evaluation'!$DB$5:$DB$121,MATCH(LARGE('Member Evaluation'!$DE$5:$DE$121,176),'Member Evaluation'!$DE$5:$DE$121,0)),"")</f>
        <v/>
      </c>
    </row>
    <row r="178" spans="1:5" ht="15.75" customHeight="1" x14ac:dyDescent="0.25">
      <c r="A178" s="18">
        <v>177</v>
      </c>
      <c r="B178" s="18" t="str">
        <f>IFERROR(INDEX('Member Evaluation'!$A$5:$A$121,MATCH(LARGE('Member Evaluation'!$DE$5:$DE$121,177),'Member Evaluation'!$DE$5:$DE$121,0)),"")</f>
        <v/>
      </c>
      <c r="C178" s="18" t="str">
        <f t="shared" si="2"/>
        <v/>
      </c>
      <c r="D178" s="18" t="str">
        <f>IFERROR(INDEX('Member Evaluation'!$CZ$5:$CZ$121, MATCH(LARGE('Member Evaluation'!$DE$5:$DE$121, ROW(A177)), 'Member Evaluation'!$DE$5:$DE$121, 0)), "")</f>
        <v/>
      </c>
      <c r="E178" s="18" t="str">
        <f>IFERROR(INDEX('Member Evaluation'!$DB$5:$DB$121,MATCH(LARGE('Member Evaluation'!$DE$5:$DE$121,177),'Member Evaluation'!$DE$5:$DE$121,0)),"")</f>
        <v/>
      </c>
    </row>
    <row r="179" spans="1:5" ht="15.75" customHeight="1" x14ac:dyDescent="0.25">
      <c r="A179" s="18">
        <v>178</v>
      </c>
      <c r="B179" s="18" t="str">
        <f>IFERROR(INDEX('Member Evaluation'!$A$5:$A$121,MATCH(LARGE('Member Evaluation'!$DE$5:$DE$121,178),'Member Evaluation'!$DE$5:$DE$121,0)),"")</f>
        <v/>
      </c>
      <c r="C179" s="18" t="str">
        <f t="shared" si="2"/>
        <v/>
      </c>
      <c r="D179" s="18" t="str">
        <f>IFERROR(INDEX('Member Evaluation'!$CZ$5:$CZ$121, MATCH(LARGE('Member Evaluation'!$DE$5:$DE$121, ROW(A178)), 'Member Evaluation'!$DE$5:$DE$121, 0)), "")</f>
        <v/>
      </c>
      <c r="E179" s="18" t="str">
        <f>IFERROR(INDEX('Member Evaluation'!$DB$5:$DB$121,MATCH(LARGE('Member Evaluation'!$DE$5:$DE$121,178),'Member Evaluation'!$DE$5:$DE$121,0)),"")</f>
        <v/>
      </c>
    </row>
    <row r="180" spans="1:5" ht="15.75" customHeight="1" x14ac:dyDescent="0.25">
      <c r="A180" s="18">
        <v>179</v>
      </c>
      <c r="B180" s="18" t="str">
        <f>IFERROR(INDEX('Member Evaluation'!$A$5:$A$121,MATCH(LARGE('Member Evaluation'!$DE$5:$DE$121,179),'Member Evaluation'!$DE$5:$DE$121,0)),"")</f>
        <v/>
      </c>
      <c r="C180" s="18" t="str">
        <f t="shared" si="2"/>
        <v/>
      </c>
      <c r="D180" s="18" t="str">
        <f>IFERROR(INDEX('Member Evaluation'!$CZ$5:$CZ$121, MATCH(LARGE('Member Evaluation'!$DE$5:$DE$121, ROW(A179)), 'Member Evaluation'!$DE$5:$DE$121, 0)), "")</f>
        <v/>
      </c>
      <c r="E180" s="18" t="str">
        <f>IFERROR(INDEX('Member Evaluation'!$DB$5:$DB$121,MATCH(LARGE('Member Evaluation'!$DE$5:$DE$121,179),'Member Evaluation'!$DE$5:$DE$121,0)),"")</f>
        <v/>
      </c>
    </row>
    <row r="181" spans="1:5" ht="15.75" customHeight="1" x14ac:dyDescent="0.25">
      <c r="A181" s="18">
        <v>180</v>
      </c>
      <c r="B181" s="18" t="str">
        <f>IFERROR(INDEX('Member Evaluation'!$A$5:$A$121,MATCH(LARGE('Member Evaluation'!$DE$5:$DE$121,180),'Member Evaluation'!$DE$5:$DE$121,0)),"")</f>
        <v/>
      </c>
      <c r="C181" s="18" t="str">
        <f t="shared" si="2"/>
        <v/>
      </c>
      <c r="D181" s="18" t="str">
        <f>IFERROR(INDEX('Member Evaluation'!$CZ$5:$CZ$121, MATCH(LARGE('Member Evaluation'!$DE$5:$DE$121, ROW(A180)), 'Member Evaluation'!$DE$5:$DE$121, 0)), "")</f>
        <v/>
      </c>
      <c r="E181" s="18" t="str">
        <f>IFERROR(INDEX('Member Evaluation'!$DB$5:$DB$121,MATCH(LARGE('Member Evaluation'!$DE$5:$DE$121,180),'Member Evaluation'!$DE$5:$DE$121,0)),"")</f>
        <v/>
      </c>
    </row>
    <row r="182" spans="1:5" ht="15.75" customHeight="1" x14ac:dyDescent="0.25">
      <c r="A182" s="18">
        <v>181</v>
      </c>
      <c r="B182" s="18" t="str">
        <f>IFERROR(INDEX('Member Evaluation'!$A$5:$A$121,MATCH(LARGE('Member Evaluation'!$DE$5:$DE$121,181),'Member Evaluation'!$DE$5:$DE$121,0)),"")</f>
        <v/>
      </c>
      <c r="C182" s="18" t="str">
        <f t="shared" si="2"/>
        <v/>
      </c>
      <c r="D182" s="18" t="str">
        <f>IFERROR(INDEX('Member Evaluation'!$CZ$5:$CZ$121, MATCH(LARGE('Member Evaluation'!$DE$5:$DE$121, ROW(A181)), 'Member Evaluation'!$DE$5:$DE$121, 0)), "")</f>
        <v/>
      </c>
      <c r="E182" s="18" t="str">
        <f>IFERROR(INDEX('Member Evaluation'!$DB$5:$DB$121,MATCH(LARGE('Member Evaluation'!$DE$5:$DE$121,181),'Member Evaluation'!$DE$5:$DE$121,0)),"")</f>
        <v/>
      </c>
    </row>
    <row r="183" spans="1:5" ht="15.75" customHeight="1" x14ac:dyDescent="0.25">
      <c r="A183" s="18">
        <v>182</v>
      </c>
      <c r="B183" s="18" t="str">
        <f>IFERROR(INDEX('Member Evaluation'!$A$5:$A$121,MATCH(LARGE('Member Evaluation'!$DE$5:$DE$121,182),'Member Evaluation'!$DE$5:$DE$121,0)),"")</f>
        <v/>
      </c>
      <c r="C183" s="18" t="str">
        <f t="shared" si="2"/>
        <v/>
      </c>
      <c r="D183" s="18" t="str">
        <f>IFERROR(INDEX('Member Evaluation'!$CZ$5:$CZ$121, MATCH(LARGE('Member Evaluation'!$DE$5:$DE$121, ROW(A182)), 'Member Evaluation'!$DE$5:$DE$121, 0)), "")</f>
        <v/>
      </c>
      <c r="E183" s="18" t="str">
        <f>IFERROR(INDEX('Member Evaluation'!$DB$5:$DB$121,MATCH(LARGE('Member Evaluation'!$DE$5:$DE$121,182),'Member Evaluation'!$DE$5:$DE$121,0)),"")</f>
        <v/>
      </c>
    </row>
    <row r="184" spans="1:5" ht="15.75" customHeight="1" x14ac:dyDescent="0.25">
      <c r="A184" s="18">
        <v>183</v>
      </c>
      <c r="B184" s="18" t="str">
        <f>IFERROR(INDEX('Member Evaluation'!$A$5:$A$121,MATCH(LARGE('Member Evaluation'!$DE$5:$DE$121,183),'Member Evaluation'!$DE$5:$DE$121,0)),"")</f>
        <v/>
      </c>
      <c r="C184" s="18" t="str">
        <f t="shared" si="2"/>
        <v/>
      </c>
      <c r="D184" s="18" t="str">
        <f>IFERROR(INDEX('Member Evaluation'!$CZ$5:$CZ$121, MATCH(LARGE('Member Evaluation'!$DE$5:$DE$121, ROW(A183)), 'Member Evaluation'!$DE$5:$DE$121, 0)), "")</f>
        <v/>
      </c>
      <c r="E184" s="18" t="str">
        <f>IFERROR(INDEX('Member Evaluation'!$DB$5:$DB$121,MATCH(LARGE('Member Evaluation'!$DE$5:$DE$121,183),'Member Evaluation'!$DE$5:$DE$121,0)),"")</f>
        <v/>
      </c>
    </row>
    <row r="185" spans="1:5" ht="15.75" customHeight="1" x14ac:dyDescent="0.25">
      <c r="A185" s="18">
        <v>184</v>
      </c>
      <c r="B185" s="18" t="str">
        <f>IFERROR(INDEX('Member Evaluation'!$A$5:$A$121,MATCH(LARGE('Member Evaluation'!$DE$5:$DE$121,184),'Member Evaluation'!$DE$5:$DE$121,0)),"")</f>
        <v/>
      </c>
      <c r="C185" s="18" t="str">
        <f t="shared" si="2"/>
        <v/>
      </c>
      <c r="D185" s="18" t="str">
        <f>IFERROR(INDEX('Member Evaluation'!$CZ$5:$CZ$121, MATCH(LARGE('Member Evaluation'!$DE$5:$DE$121, ROW(A184)), 'Member Evaluation'!$DE$5:$DE$121, 0)), "")</f>
        <v/>
      </c>
      <c r="E185" s="18" t="str">
        <f>IFERROR(INDEX('Member Evaluation'!$DB$5:$DB$121,MATCH(LARGE('Member Evaluation'!$DE$5:$DE$121,184),'Member Evaluation'!$DE$5:$DE$121,0)),"")</f>
        <v/>
      </c>
    </row>
    <row r="186" spans="1:5" ht="15.75" customHeight="1" x14ac:dyDescent="0.25">
      <c r="A186" s="18">
        <v>185</v>
      </c>
      <c r="B186" s="18" t="str">
        <f>IFERROR(INDEX('Member Evaluation'!$A$5:$A$121,MATCH(LARGE('Member Evaluation'!$DE$5:$DE$121,185),'Member Evaluation'!$DE$5:$DE$121,0)),"")</f>
        <v/>
      </c>
      <c r="C186" s="18" t="str">
        <f t="shared" si="2"/>
        <v/>
      </c>
      <c r="D186" s="18" t="str">
        <f>IFERROR(INDEX('Member Evaluation'!$CZ$5:$CZ$121, MATCH(LARGE('Member Evaluation'!$DE$5:$DE$121, ROW(A185)), 'Member Evaluation'!$DE$5:$DE$121, 0)), "")</f>
        <v/>
      </c>
      <c r="E186" s="18" t="str">
        <f>IFERROR(INDEX('Member Evaluation'!$DB$5:$DB$121,MATCH(LARGE('Member Evaluation'!$DE$5:$DE$121,185),'Member Evaluation'!$DE$5:$DE$121,0)),"")</f>
        <v/>
      </c>
    </row>
    <row r="187" spans="1:5" ht="15.75" customHeight="1" x14ac:dyDescent="0.25">
      <c r="A187" s="18">
        <v>186</v>
      </c>
      <c r="B187" s="18" t="str">
        <f>IFERROR(INDEX('Member Evaluation'!$A$5:$A$121,MATCH(LARGE('Member Evaluation'!$DE$5:$DE$121,186),'Member Evaluation'!$DE$5:$DE$121,0)),"")</f>
        <v/>
      </c>
      <c r="C187" s="18" t="str">
        <f t="shared" si="2"/>
        <v/>
      </c>
      <c r="D187" s="18" t="str">
        <f>IFERROR(INDEX('Member Evaluation'!$CZ$5:$CZ$121, MATCH(LARGE('Member Evaluation'!$DE$5:$DE$121, ROW(A186)), 'Member Evaluation'!$DE$5:$DE$121, 0)), "")</f>
        <v/>
      </c>
      <c r="E187" s="18" t="str">
        <f>IFERROR(INDEX('Member Evaluation'!$DB$5:$DB$121,MATCH(LARGE('Member Evaluation'!$DE$5:$DE$121,186),'Member Evaluation'!$DE$5:$DE$121,0)),"")</f>
        <v/>
      </c>
    </row>
    <row r="188" spans="1:5" ht="15.75" customHeight="1" x14ac:dyDescent="0.25">
      <c r="A188" s="18">
        <v>187</v>
      </c>
      <c r="B188" s="18" t="str">
        <f>IFERROR(INDEX('Member Evaluation'!$A$5:$A$121,MATCH(LARGE('Member Evaluation'!$DE$5:$DE$121,187),'Member Evaluation'!$DE$5:$DE$121,0)),"")</f>
        <v/>
      </c>
      <c r="C188" s="18" t="str">
        <f t="shared" si="2"/>
        <v/>
      </c>
      <c r="D188" s="18" t="str">
        <f>IFERROR(INDEX('Member Evaluation'!$CZ$5:$CZ$121, MATCH(LARGE('Member Evaluation'!$DE$5:$DE$121, ROW(A187)), 'Member Evaluation'!$DE$5:$DE$121, 0)), "")</f>
        <v/>
      </c>
      <c r="E188" s="18" t="str">
        <f>IFERROR(INDEX('Member Evaluation'!$DB$5:$DB$121,MATCH(LARGE('Member Evaluation'!$DE$5:$DE$121,187),'Member Evaluation'!$DE$5:$DE$121,0)),"")</f>
        <v/>
      </c>
    </row>
    <row r="189" spans="1:5" ht="15.75" customHeight="1" x14ac:dyDescent="0.25">
      <c r="A189" s="18">
        <v>188</v>
      </c>
      <c r="B189" s="18" t="str">
        <f>IFERROR(INDEX('Member Evaluation'!$A$5:$A$121,MATCH(LARGE('Member Evaluation'!$DE$5:$DE$121,188),'Member Evaluation'!$DE$5:$DE$121,0)),"")</f>
        <v/>
      </c>
      <c r="C189" s="18" t="str">
        <f t="shared" si="2"/>
        <v/>
      </c>
      <c r="D189" s="18" t="str">
        <f>IFERROR(INDEX('Member Evaluation'!$CZ$5:$CZ$121, MATCH(LARGE('Member Evaluation'!$DE$5:$DE$121, ROW(A188)), 'Member Evaluation'!$DE$5:$DE$121, 0)), "")</f>
        <v/>
      </c>
      <c r="E189" s="18" t="str">
        <f>IFERROR(INDEX('Member Evaluation'!$DB$5:$DB$121,MATCH(LARGE('Member Evaluation'!$DE$5:$DE$121,188),'Member Evaluation'!$DE$5:$DE$121,0)),"")</f>
        <v/>
      </c>
    </row>
    <row r="190" spans="1:5" ht="15.75" customHeight="1" x14ac:dyDescent="0.25">
      <c r="A190" s="18">
        <v>189</v>
      </c>
      <c r="B190" s="18" t="str">
        <f>IFERROR(INDEX('Member Evaluation'!$A$5:$A$121,MATCH(LARGE('Member Evaluation'!$DE$5:$DE$121,189),'Member Evaluation'!$DE$5:$DE$121,0)),"")</f>
        <v/>
      </c>
      <c r="C190" s="18" t="str">
        <f t="shared" si="2"/>
        <v/>
      </c>
      <c r="D190" s="18" t="str">
        <f>IFERROR(INDEX('Member Evaluation'!$CZ$5:$CZ$121, MATCH(LARGE('Member Evaluation'!$DE$5:$DE$121, ROW(A189)), 'Member Evaluation'!$DE$5:$DE$121, 0)), "")</f>
        <v/>
      </c>
      <c r="E190" s="18" t="str">
        <f>IFERROR(INDEX('Member Evaluation'!$DB$5:$DB$121,MATCH(LARGE('Member Evaluation'!$DE$5:$DE$121,189),'Member Evaluation'!$DE$5:$DE$121,0)),"")</f>
        <v/>
      </c>
    </row>
    <row r="191" spans="1:5" ht="15.75" customHeight="1" x14ac:dyDescent="0.25">
      <c r="A191" s="18">
        <v>190</v>
      </c>
      <c r="B191" s="18" t="str">
        <f>IFERROR(INDEX('Member Evaluation'!$A$5:$A$121,MATCH(LARGE('Member Evaluation'!$DE$5:$DE$121,190),'Member Evaluation'!$DE$5:$DE$121,0)),"")</f>
        <v/>
      </c>
      <c r="C191" s="18" t="str">
        <f t="shared" si="2"/>
        <v/>
      </c>
      <c r="D191" s="18" t="str">
        <f>IFERROR(INDEX('Member Evaluation'!$CZ$5:$CZ$121, MATCH(LARGE('Member Evaluation'!$DE$5:$DE$121, ROW(A190)), 'Member Evaluation'!$DE$5:$DE$121, 0)), "")</f>
        <v/>
      </c>
      <c r="E191" s="18" t="str">
        <f>IFERROR(INDEX('Member Evaluation'!$DB$5:$DB$121,MATCH(LARGE('Member Evaluation'!$DE$5:$DE$121,190),'Member Evaluation'!$DE$5:$DE$121,0)),"")</f>
        <v/>
      </c>
    </row>
    <row r="192" spans="1:5" ht="15.75" customHeight="1" x14ac:dyDescent="0.25">
      <c r="A192" s="18">
        <v>191</v>
      </c>
      <c r="B192" s="18" t="str">
        <f>IFERROR(INDEX('Member Evaluation'!$A$5:$A$121,MATCH(LARGE('Member Evaluation'!$DE$5:$DE$121,191),'Member Evaluation'!$DE$5:$DE$121,0)),"")</f>
        <v/>
      </c>
      <c r="C192" s="18" t="str">
        <f t="shared" si="2"/>
        <v/>
      </c>
      <c r="D192" s="18" t="str">
        <f>IFERROR(INDEX('Member Evaluation'!$CZ$5:$CZ$121, MATCH(LARGE('Member Evaluation'!$DE$5:$DE$121, ROW(A191)), 'Member Evaluation'!$DE$5:$DE$121, 0)), "")</f>
        <v/>
      </c>
      <c r="E192" s="18" t="str">
        <f>IFERROR(INDEX('Member Evaluation'!$DB$5:$DB$121,MATCH(LARGE('Member Evaluation'!$DE$5:$DE$121,191),'Member Evaluation'!$DE$5:$DE$121,0)),"")</f>
        <v/>
      </c>
    </row>
    <row r="193" spans="1:5" ht="15.75" customHeight="1" x14ac:dyDescent="0.25">
      <c r="A193" s="18">
        <v>192</v>
      </c>
      <c r="B193" s="18" t="str">
        <f>IFERROR(INDEX('Member Evaluation'!$A$5:$A$121,MATCH(LARGE('Member Evaluation'!$DE$5:$DE$121,192),'Member Evaluation'!$DE$5:$DE$121,0)),"")</f>
        <v/>
      </c>
      <c r="C193" s="18" t="str">
        <f t="shared" si="2"/>
        <v/>
      </c>
      <c r="D193" s="18" t="str">
        <f>IFERROR(INDEX('Member Evaluation'!$CZ$5:$CZ$121, MATCH(LARGE('Member Evaluation'!$DE$5:$DE$121, ROW(A192)), 'Member Evaluation'!$DE$5:$DE$121, 0)), "")</f>
        <v/>
      </c>
      <c r="E193" s="18" t="str">
        <f>IFERROR(INDEX('Member Evaluation'!$DB$5:$DB$121,MATCH(LARGE('Member Evaluation'!$DE$5:$DE$121,192),'Member Evaluation'!$DE$5:$DE$121,0)),"")</f>
        <v/>
      </c>
    </row>
    <row r="194" spans="1:5" ht="15.75" customHeight="1" x14ac:dyDescent="0.25">
      <c r="A194" s="18">
        <v>193</v>
      </c>
      <c r="B194" s="18" t="str">
        <f>IFERROR(INDEX('Member Evaluation'!$A$5:$A$121,MATCH(LARGE('Member Evaluation'!$DE$5:$DE$121,193),'Member Evaluation'!$DE$5:$DE$121,0)),"")</f>
        <v/>
      </c>
      <c r="C194" s="18" t="str">
        <f t="shared" ref="C194:C257" si="3">IF(B194="","","OR")</f>
        <v/>
      </c>
      <c r="D194" s="18" t="str">
        <f>IFERROR(INDEX('Member Evaluation'!$CZ$5:$CZ$121, MATCH(LARGE('Member Evaluation'!$DE$5:$DE$121, ROW(A193)), 'Member Evaluation'!$DE$5:$DE$121, 0)), "")</f>
        <v/>
      </c>
      <c r="E194" s="18" t="str">
        <f>IFERROR(INDEX('Member Evaluation'!$DB$5:$DB$121,MATCH(LARGE('Member Evaluation'!$DE$5:$DE$121,193),'Member Evaluation'!$DE$5:$DE$121,0)),"")</f>
        <v/>
      </c>
    </row>
    <row r="195" spans="1:5" ht="15.75" customHeight="1" x14ac:dyDescent="0.25">
      <c r="A195" s="18">
        <v>194</v>
      </c>
      <c r="B195" s="18" t="str">
        <f>IFERROR(INDEX('Member Evaluation'!$A$5:$A$121,MATCH(LARGE('Member Evaluation'!$DE$5:$DE$121,194),'Member Evaluation'!$DE$5:$DE$121,0)),"")</f>
        <v/>
      </c>
      <c r="C195" s="18" t="str">
        <f t="shared" si="3"/>
        <v/>
      </c>
      <c r="D195" s="18" t="str">
        <f>IFERROR(INDEX('Member Evaluation'!$CZ$5:$CZ$121, MATCH(LARGE('Member Evaluation'!$DE$5:$DE$121, ROW(A194)), 'Member Evaluation'!$DE$5:$DE$121, 0)), "")</f>
        <v/>
      </c>
      <c r="E195" s="18" t="str">
        <f>IFERROR(INDEX('Member Evaluation'!$DB$5:$DB$121,MATCH(LARGE('Member Evaluation'!$DE$5:$DE$121,194),'Member Evaluation'!$DE$5:$DE$121,0)),"")</f>
        <v/>
      </c>
    </row>
    <row r="196" spans="1:5" ht="15.75" customHeight="1" x14ac:dyDescent="0.25">
      <c r="A196" s="18">
        <v>195</v>
      </c>
      <c r="B196" s="18" t="str">
        <f>IFERROR(INDEX('Member Evaluation'!$A$5:$A$121,MATCH(LARGE('Member Evaluation'!$DE$5:$DE$121,195),'Member Evaluation'!$DE$5:$DE$121,0)),"")</f>
        <v/>
      </c>
      <c r="C196" s="18" t="str">
        <f t="shared" si="3"/>
        <v/>
      </c>
      <c r="D196" s="18" t="str">
        <f>IFERROR(INDEX('Member Evaluation'!$CZ$5:$CZ$121, MATCH(LARGE('Member Evaluation'!$DE$5:$DE$121, ROW(A195)), 'Member Evaluation'!$DE$5:$DE$121, 0)), "")</f>
        <v/>
      </c>
      <c r="E196" s="18" t="str">
        <f>IFERROR(INDEX('Member Evaluation'!$DB$5:$DB$121,MATCH(LARGE('Member Evaluation'!$DE$5:$DE$121,195),'Member Evaluation'!$DE$5:$DE$121,0)),"")</f>
        <v/>
      </c>
    </row>
    <row r="197" spans="1:5" ht="15.75" customHeight="1" x14ac:dyDescent="0.25">
      <c r="A197" s="18">
        <v>196</v>
      </c>
      <c r="B197" s="18" t="str">
        <f>IFERROR(INDEX('Member Evaluation'!$A$5:$A$121,MATCH(LARGE('Member Evaluation'!$DE$5:$DE$121,196),'Member Evaluation'!$DE$5:$DE$121,0)),"")</f>
        <v/>
      </c>
      <c r="C197" s="18" t="str">
        <f t="shared" si="3"/>
        <v/>
      </c>
      <c r="D197" s="18" t="str">
        <f>IFERROR(INDEX('Member Evaluation'!$CZ$5:$CZ$121, MATCH(LARGE('Member Evaluation'!$DE$5:$DE$121, ROW(A196)), 'Member Evaluation'!$DE$5:$DE$121, 0)), "")</f>
        <v/>
      </c>
      <c r="E197" s="18" t="str">
        <f>IFERROR(INDEX('Member Evaluation'!$DB$5:$DB$121,MATCH(LARGE('Member Evaluation'!$DE$5:$DE$121,196),'Member Evaluation'!$DE$5:$DE$121,0)),"")</f>
        <v/>
      </c>
    </row>
    <row r="198" spans="1:5" ht="15.75" customHeight="1" x14ac:dyDescent="0.25">
      <c r="A198" s="18">
        <v>197</v>
      </c>
      <c r="B198" s="18" t="str">
        <f>IFERROR(INDEX('Member Evaluation'!$A$5:$A$121,MATCH(LARGE('Member Evaluation'!$DE$5:$DE$121,197),'Member Evaluation'!$DE$5:$DE$121,0)),"")</f>
        <v/>
      </c>
      <c r="C198" s="18" t="str">
        <f t="shared" si="3"/>
        <v/>
      </c>
      <c r="D198" s="18" t="str">
        <f>IFERROR(INDEX('Member Evaluation'!$CZ$5:$CZ$121, MATCH(LARGE('Member Evaluation'!$DE$5:$DE$121, ROW(A197)), 'Member Evaluation'!$DE$5:$DE$121, 0)), "")</f>
        <v/>
      </c>
      <c r="E198" s="18" t="str">
        <f>IFERROR(INDEX('Member Evaluation'!$DB$5:$DB$121,MATCH(LARGE('Member Evaluation'!$DE$5:$DE$121,197),'Member Evaluation'!$DE$5:$DE$121,0)),"")</f>
        <v/>
      </c>
    </row>
    <row r="199" spans="1:5" ht="15.75" customHeight="1" x14ac:dyDescent="0.25">
      <c r="A199" s="18">
        <v>198</v>
      </c>
      <c r="B199" s="18" t="str">
        <f>IFERROR(INDEX('Member Evaluation'!$A$5:$A$121,MATCH(LARGE('Member Evaluation'!$DE$5:$DE$121,198),'Member Evaluation'!$DE$5:$DE$121,0)),"")</f>
        <v/>
      </c>
      <c r="C199" s="18" t="str">
        <f t="shared" si="3"/>
        <v/>
      </c>
      <c r="D199" s="18" t="str">
        <f>IFERROR(INDEX('Member Evaluation'!$CZ$5:$CZ$121, MATCH(LARGE('Member Evaluation'!$DE$5:$DE$121, ROW(A198)), 'Member Evaluation'!$DE$5:$DE$121, 0)), "")</f>
        <v/>
      </c>
      <c r="E199" s="18" t="str">
        <f>IFERROR(INDEX('Member Evaluation'!$DB$5:$DB$121,MATCH(LARGE('Member Evaluation'!$DE$5:$DE$121,198),'Member Evaluation'!$DE$5:$DE$121,0)),"")</f>
        <v/>
      </c>
    </row>
    <row r="200" spans="1:5" ht="15.75" customHeight="1" x14ac:dyDescent="0.25">
      <c r="A200" s="18">
        <v>199</v>
      </c>
      <c r="B200" s="18" t="str">
        <f>IFERROR(INDEX('Member Evaluation'!$A$5:$A$121,MATCH(LARGE('Member Evaluation'!$DE$5:$DE$121,199),'Member Evaluation'!$DE$5:$DE$121,0)),"")</f>
        <v/>
      </c>
      <c r="C200" s="18" t="str">
        <f t="shared" si="3"/>
        <v/>
      </c>
      <c r="D200" s="18" t="str">
        <f>IFERROR(INDEX('Member Evaluation'!$CZ$5:$CZ$121, MATCH(LARGE('Member Evaluation'!$DE$5:$DE$121, ROW(A199)), 'Member Evaluation'!$DE$5:$DE$121, 0)), "")</f>
        <v/>
      </c>
      <c r="E200" s="18" t="str">
        <f>IFERROR(INDEX('Member Evaluation'!$DB$5:$DB$121,MATCH(LARGE('Member Evaluation'!$DE$5:$DE$121,199),'Member Evaluation'!$DE$5:$DE$121,0)),"")</f>
        <v/>
      </c>
    </row>
    <row r="201" spans="1:5" ht="15.75" customHeight="1" x14ac:dyDescent="0.25">
      <c r="A201" s="18">
        <v>200</v>
      </c>
      <c r="B201" s="18" t="str">
        <f>IFERROR(INDEX('Member Evaluation'!$A$5:$A$121,MATCH(LARGE('Member Evaluation'!$DE$5:$DE$121,200),'Member Evaluation'!$DE$5:$DE$121,0)),"")</f>
        <v/>
      </c>
      <c r="C201" s="18" t="str">
        <f t="shared" si="3"/>
        <v/>
      </c>
      <c r="D201" s="18" t="str">
        <f>IFERROR(INDEX('Member Evaluation'!$CZ$5:$CZ$121, MATCH(LARGE('Member Evaluation'!$DE$5:$DE$121, ROW(A200)), 'Member Evaluation'!$DE$5:$DE$121, 0)), "")</f>
        <v/>
      </c>
      <c r="E201" s="18" t="str">
        <f>IFERROR(INDEX('Member Evaluation'!$DB$5:$DB$121,MATCH(LARGE('Member Evaluation'!$DE$5:$DE$121,200),'Member Evaluation'!$DE$5:$DE$121,0)),"")</f>
        <v/>
      </c>
    </row>
    <row r="202" spans="1:5" ht="15.75" customHeight="1" x14ac:dyDescent="0.25">
      <c r="A202" s="18">
        <v>201</v>
      </c>
      <c r="B202" s="18" t="str">
        <f>IFERROR(INDEX('Member Evaluation'!$A$5:$A$121,MATCH(LARGE('Member Evaluation'!$DE$5:$DE$121,201),'Member Evaluation'!$DE$5:$DE$121,0)),"")</f>
        <v/>
      </c>
      <c r="C202" s="18" t="str">
        <f t="shared" si="3"/>
        <v/>
      </c>
      <c r="D202" s="18" t="str">
        <f>IFERROR(INDEX('Member Evaluation'!$CZ$5:$CZ$121, MATCH(LARGE('Member Evaluation'!$DE$5:$DE$121, ROW(A201)), 'Member Evaluation'!$DE$5:$DE$121, 0)), "")</f>
        <v/>
      </c>
      <c r="E202" s="18" t="str">
        <f>IFERROR(INDEX('Member Evaluation'!$DB$5:$DB$121,MATCH(LARGE('Member Evaluation'!$DE$5:$DE$121,201),'Member Evaluation'!$DE$5:$DE$121,0)),"")</f>
        <v/>
      </c>
    </row>
    <row r="203" spans="1:5" ht="15.75" customHeight="1" x14ac:dyDescent="0.25">
      <c r="A203" s="18">
        <v>202</v>
      </c>
      <c r="B203" s="18" t="str">
        <f>IFERROR(INDEX('Member Evaluation'!$A$5:$A$121,MATCH(LARGE('Member Evaluation'!$DE$5:$DE$121,202),'Member Evaluation'!$DE$5:$DE$121,0)),"")</f>
        <v/>
      </c>
      <c r="C203" s="18" t="str">
        <f t="shared" si="3"/>
        <v/>
      </c>
      <c r="D203" s="18" t="str">
        <f>IFERROR(INDEX('Member Evaluation'!$CZ$5:$CZ$121, MATCH(LARGE('Member Evaluation'!$DE$5:$DE$121, ROW(A202)), 'Member Evaluation'!$DE$5:$DE$121, 0)), "")</f>
        <v/>
      </c>
      <c r="E203" s="18" t="str">
        <f>IFERROR(INDEX('Member Evaluation'!$DB$5:$DB$121,MATCH(LARGE('Member Evaluation'!$DE$5:$DE$121,202),'Member Evaluation'!$DE$5:$DE$121,0)),"")</f>
        <v/>
      </c>
    </row>
    <row r="204" spans="1:5" ht="15.75" customHeight="1" x14ac:dyDescent="0.25">
      <c r="A204" s="18">
        <v>203</v>
      </c>
      <c r="B204" s="18" t="str">
        <f>IFERROR(INDEX('Member Evaluation'!$A$5:$A$121,MATCH(LARGE('Member Evaluation'!$DE$5:$DE$121,203),'Member Evaluation'!$DE$5:$DE$121,0)),"")</f>
        <v/>
      </c>
      <c r="C204" s="18" t="str">
        <f t="shared" si="3"/>
        <v/>
      </c>
      <c r="D204" s="18" t="str">
        <f>IFERROR(INDEX('Member Evaluation'!$CZ$5:$CZ$121, MATCH(LARGE('Member Evaluation'!$DE$5:$DE$121, ROW(A203)), 'Member Evaluation'!$DE$5:$DE$121, 0)), "")</f>
        <v/>
      </c>
      <c r="E204" s="18" t="str">
        <f>IFERROR(INDEX('Member Evaluation'!$DB$5:$DB$121,MATCH(LARGE('Member Evaluation'!$DE$5:$DE$121,203),'Member Evaluation'!$DE$5:$DE$121,0)),"")</f>
        <v/>
      </c>
    </row>
    <row r="205" spans="1:5" ht="15.75" customHeight="1" x14ac:dyDescent="0.25">
      <c r="A205" s="18">
        <v>204</v>
      </c>
      <c r="B205" s="18" t="str">
        <f>IFERROR(INDEX('Member Evaluation'!$A$5:$A$121,MATCH(LARGE('Member Evaluation'!$DE$5:$DE$121,204),'Member Evaluation'!$DE$5:$DE$121,0)),"")</f>
        <v/>
      </c>
      <c r="C205" s="18" t="str">
        <f t="shared" si="3"/>
        <v/>
      </c>
      <c r="D205" s="18" t="str">
        <f>IFERROR(INDEX('Member Evaluation'!$CZ$5:$CZ$121, MATCH(LARGE('Member Evaluation'!$DE$5:$DE$121, ROW(A204)), 'Member Evaluation'!$DE$5:$DE$121, 0)), "")</f>
        <v/>
      </c>
      <c r="E205" s="18" t="str">
        <f>IFERROR(INDEX('Member Evaluation'!$DB$5:$DB$121,MATCH(LARGE('Member Evaluation'!$DE$5:$DE$121,204),'Member Evaluation'!$DE$5:$DE$121,0)),"")</f>
        <v/>
      </c>
    </row>
    <row r="206" spans="1:5" ht="15.75" customHeight="1" x14ac:dyDescent="0.25">
      <c r="A206" s="18">
        <v>205</v>
      </c>
      <c r="B206" s="18" t="str">
        <f>IFERROR(INDEX('Member Evaluation'!$A$5:$A$121,MATCH(LARGE('Member Evaluation'!$DE$5:$DE$121,205),'Member Evaluation'!$DE$5:$DE$121,0)),"")</f>
        <v/>
      </c>
      <c r="C206" s="18" t="str">
        <f t="shared" si="3"/>
        <v/>
      </c>
      <c r="D206" s="18" t="str">
        <f>IFERROR(INDEX('Member Evaluation'!$CZ$5:$CZ$121, MATCH(LARGE('Member Evaluation'!$DE$5:$DE$121, ROW(A205)), 'Member Evaluation'!$DE$5:$DE$121, 0)), "")</f>
        <v/>
      </c>
      <c r="E206" s="18" t="str">
        <f>IFERROR(INDEX('Member Evaluation'!$DB$5:$DB$121,MATCH(LARGE('Member Evaluation'!$DE$5:$DE$121,205),'Member Evaluation'!$DE$5:$DE$121,0)),"")</f>
        <v/>
      </c>
    </row>
    <row r="207" spans="1:5" ht="15.75" customHeight="1" x14ac:dyDescent="0.25">
      <c r="A207" s="18">
        <v>206</v>
      </c>
      <c r="B207" s="18" t="str">
        <f>IFERROR(INDEX('Member Evaluation'!$A$5:$A$121,MATCH(LARGE('Member Evaluation'!$DE$5:$DE$121,206),'Member Evaluation'!$DE$5:$DE$121,0)),"")</f>
        <v/>
      </c>
      <c r="C207" s="18" t="str">
        <f t="shared" si="3"/>
        <v/>
      </c>
      <c r="D207" s="18" t="str">
        <f>IFERROR(INDEX('Member Evaluation'!$CZ$5:$CZ$121, MATCH(LARGE('Member Evaluation'!$DE$5:$DE$121, ROW(A206)), 'Member Evaluation'!$DE$5:$DE$121, 0)), "")</f>
        <v/>
      </c>
      <c r="E207" s="18" t="str">
        <f>IFERROR(INDEX('Member Evaluation'!$DB$5:$DB$121,MATCH(LARGE('Member Evaluation'!$DE$5:$DE$121,206),'Member Evaluation'!$DE$5:$DE$121,0)),"")</f>
        <v/>
      </c>
    </row>
    <row r="208" spans="1:5" ht="15.75" customHeight="1" x14ac:dyDescent="0.25">
      <c r="A208" s="18">
        <v>207</v>
      </c>
      <c r="B208" s="18" t="str">
        <f>IFERROR(INDEX('Member Evaluation'!$A$5:$A$121,MATCH(LARGE('Member Evaluation'!$DE$5:$DE$121,207),'Member Evaluation'!$DE$5:$DE$121,0)),"")</f>
        <v/>
      </c>
      <c r="C208" s="18" t="str">
        <f t="shared" si="3"/>
        <v/>
      </c>
      <c r="D208" s="18" t="str">
        <f>IFERROR(INDEX('Member Evaluation'!$CZ$5:$CZ$121, MATCH(LARGE('Member Evaluation'!$DE$5:$DE$121, ROW(A207)), 'Member Evaluation'!$DE$5:$DE$121, 0)), "")</f>
        <v/>
      </c>
      <c r="E208" s="18" t="str">
        <f>IFERROR(INDEX('Member Evaluation'!$DB$5:$DB$121,MATCH(LARGE('Member Evaluation'!$DE$5:$DE$121,207),'Member Evaluation'!$DE$5:$DE$121,0)),"")</f>
        <v/>
      </c>
    </row>
    <row r="209" spans="1:5" ht="15.75" customHeight="1" x14ac:dyDescent="0.25">
      <c r="A209" s="18">
        <v>208</v>
      </c>
      <c r="B209" s="18" t="str">
        <f>IFERROR(INDEX('Member Evaluation'!$A$5:$A$121,MATCH(LARGE('Member Evaluation'!$DE$5:$DE$121,208),'Member Evaluation'!$DE$5:$DE$121,0)),"")</f>
        <v/>
      </c>
      <c r="C209" s="18" t="str">
        <f t="shared" si="3"/>
        <v/>
      </c>
      <c r="D209" s="18" t="str">
        <f>IFERROR(INDEX('Member Evaluation'!$CZ$5:$CZ$121, MATCH(LARGE('Member Evaluation'!$DE$5:$DE$121, ROW(A208)), 'Member Evaluation'!$DE$5:$DE$121, 0)), "")</f>
        <v/>
      </c>
      <c r="E209" s="18" t="str">
        <f>IFERROR(INDEX('Member Evaluation'!$DB$5:$DB$121,MATCH(LARGE('Member Evaluation'!$DE$5:$DE$121,208),'Member Evaluation'!$DE$5:$DE$121,0)),"")</f>
        <v/>
      </c>
    </row>
    <row r="210" spans="1:5" ht="15.75" customHeight="1" x14ac:dyDescent="0.25">
      <c r="A210" s="18">
        <v>209</v>
      </c>
      <c r="B210" s="18" t="str">
        <f>IFERROR(INDEX('Member Evaluation'!$A$5:$A$121,MATCH(LARGE('Member Evaluation'!$DE$5:$DE$121,209),'Member Evaluation'!$DE$5:$DE$121,0)),"")</f>
        <v/>
      </c>
      <c r="C210" s="18" t="str">
        <f t="shared" si="3"/>
        <v/>
      </c>
      <c r="D210" s="18" t="str">
        <f>IFERROR(INDEX('Member Evaluation'!$CZ$5:$CZ$121, MATCH(LARGE('Member Evaluation'!$DE$5:$DE$121, ROW(A209)), 'Member Evaluation'!$DE$5:$DE$121, 0)), "")</f>
        <v/>
      </c>
      <c r="E210" s="18" t="str">
        <f>IFERROR(INDEX('Member Evaluation'!$DB$5:$DB$121,MATCH(LARGE('Member Evaluation'!$DE$5:$DE$121,209),'Member Evaluation'!$DE$5:$DE$121,0)),"")</f>
        <v/>
      </c>
    </row>
    <row r="211" spans="1:5" ht="15.75" customHeight="1" x14ac:dyDescent="0.25">
      <c r="A211" s="18">
        <v>210</v>
      </c>
      <c r="B211" s="18" t="str">
        <f>IFERROR(INDEX('Member Evaluation'!$A$5:$A$121,MATCH(LARGE('Member Evaluation'!$DE$5:$DE$121,210),'Member Evaluation'!$DE$5:$DE$121,0)),"")</f>
        <v/>
      </c>
      <c r="C211" s="18" t="str">
        <f t="shared" si="3"/>
        <v/>
      </c>
      <c r="D211" s="18" t="str">
        <f>IFERROR(INDEX('Member Evaluation'!$CZ$5:$CZ$121, MATCH(LARGE('Member Evaluation'!$DE$5:$DE$121, ROW(A210)), 'Member Evaluation'!$DE$5:$DE$121, 0)), "")</f>
        <v/>
      </c>
      <c r="E211" s="18" t="str">
        <f>IFERROR(INDEX('Member Evaluation'!$DB$5:$DB$121,MATCH(LARGE('Member Evaluation'!$DE$5:$DE$121,210),'Member Evaluation'!$DE$5:$DE$121,0)),"")</f>
        <v/>
      </c>
    </row>
    <row r="212" spans="1:5" ht="15.75" customHeight="1" x14ac:dyDescent="0.25">
      <c r="A212" s="18">
        <v>211</v>
      </c>
      <c r="B212" s="18" t="str">
        <f>IFERROR(INDEX('Member Evaluation'!$A$5:$A$121,MATCH(LARGE('Member Evaluation'!$DE$5:$DE$121,211),'Member Evaluation'!$DE$5:$DE$121,0)),"")</f>
        <v/>
      </c>
      <c r="C212" s="18" t="str">
        <f t="shared" si="3"/>
        <v/>
      </c>
      <c r="D212" s="18" t="str">
        <f>IFERROR(INDEX('Member Evaluation'!$CZ$5:$CZ$121, MATCH(LARGE('Member Evaluation'!$DE$5:$DE$121, ROW(A211)), 'Member Evaluation'!$DE$5:$DE$121, 0)), "")</f>
        <v/>
      </c>
      <c r="E212" s="18" t="str">
        <f>IFERROR(INDEX('Member Evaluation'!$DB$5:$DB$121,MATCH(LARGE('Member Evaluation'!$DE$5:$DE$121,211),'Member Evaluation'!$DE$5:$DE$121,0)),"")</f>
        <v/>
      </c>
    </row>
    <row r="213" spans="1:5" ht="15.75" customHeight="1" x14ac:dyDescent="0.25">
      <c r="A213" s="18">
        <v>212</v>
      </c>
      <c r="B213" s="18" t="str">
        <f>IFERROR(INDEX('Member Evaluation'!$A$5:$A$121,MATCH(LARGE('Member Evaluation'!$DE$5:$DE$121,212),'Member Evaluation'!$DE$5:$DE$121,0)),"")</f>
        <v/>
      </c>
      <c r="C213" s="18" t="str">
        <f t="shared" si="3"/>
        <v/>
      </c>
      <c r="D213" s="18" t="str">
        <f>IFERROR(INDEX('Member Evaluation'!$CZ$5:$CZ$121, MATCH(LARGE('Member Evaluation'!$DE$5:$DE$121, ROW(A212)), 'Member Evaluation'!$DE$5:$DE$121, 0)), "")</f>
        <v/>
      </c>
      <c r="E213" s="18" t="str">
        <f>IFERROR(INDEX('Member Evaluation'!$DB$5:$DB$121,MATCH(LARGE('Member Evaluation'!$DE$5:$DE$121,212),'Member Evaluation'!$DE$5:$DE$121,0)),"")</f>
        <v/>
      </c>
    </row>
    <row r="214" spans="1:5" ht="15.75" customHeight="1" x14ac:dyDescent="0.25">
      <c r="A214" s="18">
        <v>213</v>
      </c>
      <c r="B214" s="18" t="str">
        <f>IFERROR(INDEX('Member Evaluation'!$A$5:$A$121,MATCH(LARGE('Member Evaluation'!$DE$5:$DE$121,213),'Member Evaluation'!$DE$5:$DE$121,0)),"")</f>
        <v/>
      </c>
      <c r="C214" s="18" t="str">
        <f t="shared" si="3"/>
        <v/>
      </c>
      <c r="D214" s="18" t="str">
        <f>IFERROR(INDEX('Member Evaluation'!$CZ$5:$CZ$121, MATCH(LARGE('Member Evaluation'!$DE$5:$DE$121, ROW(A213)), 'Member Evaluation'!$DE$5:$DE$121, 0)), "")</f>
        <v/>
      </c>
      <c r="E214" s="18" t="str">
        <f>IFERROR(INDEX('Member Evaluation'!$DB$5:$DB$121,MATCH(LARGE('Member Evaluation'!$DE$5:$DE$121,213),'Member Evaluation'!$DE$5:$DE$121,0)),"")</f>
        <v/>
      </c>
    </row>
    <row r="215" spans="1:5" ht="15.75" customHeight="1" x14ac:dyDescent="0.25">
      <c r="A215" s="18">
        <v>214</v>
      </c>
      <c r="B215" s="18" t="str">
        <f>IFERROR(INDEX('Member Evaluation'!$A$5:$A$121,MATCH(LARGE('Member Evaluation'!$DE$5:$DE$121,214),'Member Evaluation'!$DE$5:$DE$121,0)),"")</f>
        <v/>
      </c>
      <c r="C215" s="18" t="str">
        <f t="shared" si="3"/>
        <v/>
      </c>
      <c r="D215" s="18" t="str">
        <f>IFERROR(INDEX('Member Evaluation'!$CZ$5:$CZ$121, MATCH(LARGE('Member Evaluation'!$DE$5:$DE$121, ROW(A214)), 'Member Evaluation'!$DE$5:$DE$121, 0)), "")</f>
        <v/>
      </c>
      <c r="E215" s="18" t="str">
        <f>IFERROR(INDEX('Member Evaluation'!$DB$5:$DB$121,MATCH(LARGE('Member Evaluation'!$DE$5:$DE$121,214),'Member Evaluation'!$DE$5:$DE$121,0)),"")</f>
        <v/>
      </c>
    </row>
    <row r="216" spans="1:5" ht="15.75" customHeight="1" x14ac:dyDescent="0.25">
      <c r="A216" s="18">
        <v>215</v>
      </c>
      <c r="B216" s="18" t="str">
        <f>IFERROR(INDEX('Member Evaluation'!$A$5:$A$121,MATCH(LARGE('Member Evaluation'!$DE$5:$DE$121,215),'Member Evaluation'!$DE$5:$DE$121,0)),"")</f>
        <v/>
      </c>
      <c r="C216" s="18" t="str">
        <f t="shared" si="3"/>
        <v/>
      </c>
      <c r="D216" s="18" t="str">
        <f>IFERROR(INDEX('Member Evaluation'!$CZ$5:$CZ$121, MATCH(LARGE('Member Evaluation'!$DE$5:$DE$121, ROW(A215)), 'Member Evaluation'!$DE$5:$DE$121, 0)), "")</f>
        <v/>
      </c>
      <c r="E216" s="18" t="str">
        <f>IFERROR(INDEX('Member Evaluation'!$DB$5:$DB$121,MATCH(LARGE('Member Evaluation'!$DE$5:$DE$121,215),'Member Evaluation'!$DE$5:$DE$121,0)),"")</f>
        <v/>
      </c>
    </row>
    <row r="217" spans="1:5" ht="15.75" customHeight="1" x14ac:dyDescent="0.25">
      <c r="A217" s="18">
        <v>216</v>
      </c>
      <c r="B217" s="18" t="str">
        <f>IFERROR(INDEX('Member Evaluation'!$A$5:$A$121,MATCH(LARGE('Member Evaluation'!$DE$5:$DE$121,216),'Member Evaluation'!$DE$5:$DE$121,0)),"")</f>
        <v/>
      </c>
      <c r="C217" s="18" t="str">
        <f t="shared" si="3"/>
        <v/>
      </c>
      <c r="D217" s="18" t="str">
        <f>IFERROR(INDEX('Member Evaluation'!$CZ$5:$CZ$121, MATCH(LARGE('Member Evaluation'!$DE$5:$DE$121, ROW(A216)), 'Member Evaluation'!$DE$5:$DE$121, 0)), "")</f>
        <v/>
      </c>
      <c r="E217" s="18" t="str">
        <f>IFERROR(INDEX('Member Evaluation'!$DB$5:$DB$121,MATCH(LARGE('Member Evaluation'!$DE$5:$DE$121,216),'Member Evaluation'!$DE$5:$DE$121,0)),"")</f>
        <v/>
      </c>
    </row>
    <row r="218" spans="1:5" ht="15.75" customHeight="1" x14ac:dyDescent="0.25">
      <c r="A218" s="18">
        <v>217</v>
      </c>
      <c r="B218" s="18" t="str">
        <f>IFERROR(INDEX('Member Evaluation'!$A$5:$A$121,MATCH(LARGE('Member Evaluation'!$DE$5:$DE$121,217),'Member Evaluation'!$DE$5:$DE$121,0)),"")</f>
        <v/>
      </c>
      <c r="C218" s="18" t="str">
        <f t="shared" si="3"/>
        <v/>
      </c>
      <c r="D218" s="18" t="str">
        <f>IFERROR(INDEX('Member Evaluation'!$CZ$5:$CZ$121, MATCH(LARGE('Member Evaluation'!$DE$5:$DE$121, ROW(A217)), 'Member Evaluation'!$DE$5:$DE$121, 0)), "")</f>
        <v/>
      </c>
      <c r="E218" s="18" t="str">
        <f>IFERROR(INDEX('Member Evaluation'!$DB$5:$DB$121,MATCH(LARGE('Member Evaluation'!$DE$5:$DE$121,217),'Member Evaluation'!$DE$5:$DE$121,0)),"")</f>
        <v/>
      </c>
    </row>
    <row r="219" spans="1:5" ht="15.75" customHeight="1" x14ac:dyDescent="0.25">
      <c r="A219" s="18">
        <v>218</v>
      </c>
      <c r="B219" s="18" t="str">
        <f>IFERROR(INDEX('Member Evaluation'!$A$5:$A$121,MATCH(LARGE('Member Evaluation'!$DE$5:$DE$121,218),'Member Evaluation'!$DE$5:$DE$121,0)),"")</f>
        <v/>
      </c>
      <c r="C219" s="18" t="str">
        <f t="shared" si="3"/>
        <v/>
      </c>
      <c r="D219" s="18" t="str">
        <f>IFERROR(INDEX('Member Evaluation'!$CZ$5:$CZ$121, MATCH(LARGE('Member Evaluation'!$DE$5:$DE$121, ROW(A218)), 'Member Evaluation'!$DE$5:$DE$121, 0)), "")</f>
        <v/>
      </c>
      <c r="E219" s="18" t="str">
        <f>IFERROR(INDEX('Member Evaluation'!$DB$5:$DB$121,MATCH(LARGE('Member Evaluation'!$DE$5:$DE$121,218),'Member Evaluation'!$DE$5:$DE$121,0)),"")</f>
        <v/>
      </c>
    </row>
    <row r="220" spans="1:5" ht="15.75" customHeight="1" x14ac:dyDescent="0.25">
      <c r="A220" s="18">
        <v>219</v>
      </c>
      <c r="B220" s="18" t="str">
        <f>IFERROR(INDEX('Member Evaluation'!$A$5:$A$121,MATCH(LARGE('Member Evaluation'!$DE$5:$DE$121,219),'Member Evaluation'!$DE$5:$DE$121,0)),"")</f>
        <v/>
      </c>
      <c r="C220" s="18" t="str">
        <f t="shared" si="3"/>
        <v/>
      </c>
      <c r="D220" s="18" t="str">
        <f>IFERROR(INDEX('Member Evaluation'!$CZ$5:$CZ$121, MATCH(LARGE('Member Evaluation'!$DE$5:$DE$121, ROW(A219)), 'Member Evaluation'!$DE$5:$DE$121, 0)), "")</f>
        <v/>
      </c>
      <c r="E220" s="18" t="str">
        <f>IFERROR(INDEX('Member Evaluation'!$DB$5:$DB$121,MATCH(LARGE('Member Evaluation'!$DE$5:$DE$121,219),'Member Evaluation'!$DE$5:$DE$121,0)),"")</f>
        <v/>
      </c>
    </row>
    <row r="221" spans="1:5" ht="15.75" customHeight="1" x14ac:dyDescent="0.25">
      <c r="A221" s="18">
        <v>220</v>
      </c>
      <c r="B221" s="18" t="str">
        <f>IFERROR(INDEX('Member Evaluation'!$A$5:$A$121,MATCH(LARGE('Member Evaluation'!$DE$5:$DE$121,220),'Member Evaluation'!$DE$5:$DE$121,0)),"")</f>
        <v/>
      </c>
      <c r="C221" s="18" t="str">
        <f t="shared" si="3"/>
        <v/>
      </c>
      <c r="D221" s="18" t="str">
        <f>IFERROR(INDEX('Member Evaluation'!$CZ$5:$CZ$121, MATCH(LARGE('Member Evaluation'!$DE$5:$DE$121, ROW(A220)), 'Member Evaluation'!$DE$5:$DE$121, 0)), "")</f>
        <v/>
      </c>
      <c r="E221" s="18" t="str">
        <f>IFERROR(INDEX('Member Evaluation'!$DB$5:$DB$121,MATCH(LARGE('Member Evaluation'!$DE$5:$DE$121,220),'Member Evaluation'!$DE$5:$DE$121,0)),"")</f>
        <v/>
      </c>
    </row>
    <row r="222" spans="1:5" ht="15.75" customHeight="1" x14ac:dyDescent="0.25">
      <c r="A222" s="18">
        <v>221</v>
      </c>
      <c r="B222" s="18" t="str">
        <f>IFERROR(INDEX('Member Evaluation'!$A$5:$A$121,MATCH(LARGE('Member Evaluation'!$DE$5:$DE$121,221),'Member Evaluation'!$DE$5:$DE$121,0)),"")</f>
        <v/>
      </c>
      <c r="C222" s="18" t="str">
        <f t="shared" si="3"/>
        <v/>
      </c>
      <c r="D222" s="18" t="str">
        <f>IFERROR(INDEX('Member Evaluation'!$CZ$5:$CZ$121, MATCH(LARGE('Member Evaluation'!$DE$5:$DE$121, ROW(A221)), 'Member Evaluation'!$DE$5:$DE$121, 0)), "")</f>
        <v/>
      </c>
      <c r="E222" s="18" t="str">
        <f>IFERROR(INDEX('Member Evaluation'!$DB$5:$DB$121,MATCH(LARGE('Member Evaluation'!$DE$5:$DE$121,221),'Member Evaluation'!$DE$5:$DE$121,0)),"")</f>
        <v/>
      </c>
    </row>
    <row r="223" spans="1:5" ht="15.75" customHeight="1" x14ac:dyDescent="0.25">
      <c r="A223" s="18">
        <v>222</v>
      </c>
      <c r="B223" s="18" t="str">
        <f>IFERROR(INDEX('Member Evaluation'!$A$5:$A$121,MATCH(LARGE('Member Evaluation'!$DE$5:$DE$121,222),'Member Evaluation'!$DE$5:$DE$121,0)),"")</f>
        <v/>
      </c>
      <c r="C223" s="18" t="str">
        <f t="shared" si="3"/>
        <v/>
      </c>
      <c r="D223" s="18" t="str">
        <f>IFERROR(INDEX('Member Evaluation'!$CZ$5:$CZ$121, MATCH(LARGE('Member Evaluation'!$DE$5:$DE$121, ROW(A222)), 'Member Evaluation'!$DE$5:$DE$121, 0)), "")</f>
        <v/>
      </c>
      <c r="E223" s="18" t="str">
        <f>IFERROR(INDEX('Member Evaluation'!$DB$5:$DB$121,MATCH(LARGE('Member Evaluation'!$DE$5:$DE$121,222),'Member Evaluation'!$DE$5:$DE$121,0)),"")</f>
        <v/>
      </c>
    </row>
    <row r="224" spans="1:5" ht="15.75" customHeight="1" x14ac:dyDescent="0.25">
      <c r="A224" s="18">
        <v>223</v>
      </c>
      <c r="B224" s="18" t="str">
        <f>IFERROR(INDEX('Member Evaluation'!$A$5:$A$121,MATCH(LARGE('Member Evaluation'!$DE$5:$DE$121,223),'Member Evaluation'!$DE$5:$DE$121,0)),"")</f>
        <v/>
      </c>
      <c r="C224" s="18" t="str">
        <f t="shared" si="3"/>
        <v/>
      </c>
      <c r="D224" s="18" t="str">
        <f>IFERROR(INDEX('Member Evaluation'!$CZ$5:$CZ$121, MATCH(LARGE('Member Evaluation'!$DE$5:$DE$121, ROW(A223)), 'Member Evaluation'!$DE$5:$DE$121, 0)), "")</f>
        <v/>
      </c>
      <c r="E224" s="18" t="str">
        <f>IFERROR(INDEX('Member Evaluation'!$DB$5:$DB$121,MATCH(LARGE('Member Evaluation'!$DE$5:$DE$121,223),'Member Evaluation'!$DE$5:$DE$121,0)),"")</f>
        <v/>
      </c>
    </row>
    <row r="225" spans="1:5" ht="15.75" customHeight="1" x14ac:dyDescent="0.25">
      <c r="A225" s="18">
        <v>224</v>
      </c>
      <c r="B225" s="18" t="str">
        <f>IFERROR(INDEX('Member Evaluation'!$A$5:$A$121,MATCH(LARGE('Member Evaluation'!$DE$5:$DE$121,224),'Member Evaluation'!$DE$5:$DE$121,0)),"")</f>
        <v/>
      </c>
      <c r="C225" s="18" t="str">
        <f t="shared" si="3"/>
        <v/>
      </c>
      <c r="D225" s="18" t="str">
        <f>IFERROR(INDEX('Member Evaluation'!$CZ$5:$CZ$121, MATCH(LARGE('Member Evaluation'!$DE$5:$DE$121, ROW(A224)), 'Member Evaluation'!$DE$5:$DE$121, 0)), "")</f>
        <v/>
      </c>
      <c r="E225" s="18" t="str">
        <f>IFERROR(INDEX('Member Evaluation'!$DB$5:$DB$121,MATCH(LARGE('Member Evaluation'!$DE$5:$DE$121,224),'Member Evaluation'!$DE$5:$DE$121,0)),"")</f>
        <v/>
      </c>
    </row>
    <row r="226" spans="1:5" ht="15.75" customHeight="1" x14ac:dyDescent="0.25">
      <c r="A226" s="18">
        <v>225</v>
      </c>
      <c r="B226" s="18" t="str">
        <f>IFERROR(INDEX('Member Evaluation'!$A$5:$A$121,MATCH(LARGE('Member Evaluation'!$DE$5:$DE$121,225),'Member Evaluation'!$DE$5:$DE$121,0)),"")</f>
        <v/>
      </c>
      <c r="C226" s="18" t="str">
        <f t="shared" si="3"/>
        <v/>
      </c>
      <c r="D226" s="18" t="str">
        <f>IFERROR(INDEX('Member Evaluation'!$CZ$5:$CZ$121, MATCH(LARGE('Member Evaluation'!$DE$5:$DE$121, ROW(A225)), 'Member Evaluation'!$DE$5:$DE$121, 0)), "")</f>
        <v/>
      </c>
      <c r="E226" s="18" t="str">
        <f>IFERROR(INDEX('Member Evaluation'!$DB$5:$DB$121,MATCH(LARGE('Member Evaluation'!$DE$5:$DE$121,225),'Member Evaluation'!$DE$5:$DE$121,0)),"")</f>
        <v/>
      </c>
    </row>
    <row r="227" spans="1:5" ht="15.75" customHeight="1" x14ac:dyDescent="0.25">
      <c r="A227" s="18">
        <v>226</v>
      </c>
      <c r="B227" s="18" t="str">
        <f>IFERROR(INDEX('Member Evaluation'!$A$5:$A$121,MATCH(LARGE('Member Evaluation'!$DE$5:$DE$121,226),'Member Evaluation'!$DE$5:$DE$121,0)),"")</f>
        <v/>
      </c>
      <c r="C227" s="18" t="str">
        <f t="shared" si="3"/>
        <v/>
      </c>
      <c r="D227" s="18" t="str">
        <f>IFERROR(INDEX('Member Evaluation'!$CZ$5:$CZ$121, MATCH(LARGE('Member Evaluation'!$DE$5:$DE$121, ROW(A226)), 'Member Evaluation'!$DE$5:$DE$121, 0)), "")</f>
        <v/>
      </c>
      <c r="E227" s="18" t="str">
        <f>IFERROR(INDEX('Member Evaluation'!$DB$5:$DB$121,MATCH(LARGE('Member Evaluation'!$DE$5:$DE$121,226),'Member Evaluation'!$DE$5:$DE$121,0)),"")</f>
        <v/>
      </c>
    </row>
    <row r="228" spans="1:5" ht="15.75" customHeight="1" x14ac:dyDescent="0.25">
      <c r="A228" s="18">
        <v>227</v>
      </c>
      <c r="B228" s="18" t="str">
        <f>IFERROR(INDEX('Member Evaluation'!$A$5:$A$121,MATCH(LARGE('Member Evaluation'!$DE$5:$DE$121,227),'Member Evaluation'!$DE$5:$DE$121,0)),"")</f>
        <v/>
      </c>
      <c r="C228" s="18" t="str">
        <f t="shared" si="3"/>
        <v/>
      </c>
      <c r="D228" s="18" t="str">
        <f>IFERROR(INDEX('Member Evaluation'!$CZ$5:$CZ$121, MATCH(LARGE('Member Evaluation'!$DE$5:$DE$121, ROW(A227)), 'Member Evaluation'!$DE$5:$DE$121, 0)), "")</f>
        <v/>
      </c>
      <c r="E228" s="18" t="str">
        <f>IFERROR(INDEX('Member Evaluation'!$DB$5:$DB$121,MATCH(LARGE('Member Evaluation'!$DE$5:$DE$121,227),'Member Evaluation'!$DE$5:$DE$121,0)),"")</f>
        <v/>
      </c>
    </row>
    <row r="229" spans="1:5" ht="15.75" customHeight="1" x14ac:dyDescent="0.25">
      <c r="A229" s="18">
        <v>228</v>
      </c>
      <c r="B229" s="18" t="str">
        <f>IFERROR(INDEX('Member Evaluation'!$A$5:$A$121,MATCH(LARGE('Member Evaluation'!$DE$5:$DE$121,228),'Member Evaluation'!$DE$5:$DE$121,0)),"")</f>
        <v/>
      </c>
      <c r="C229" s="18" t="str">
        <f t="shared" si="3"/>
        <v/>
      </c>
      <c r="D229" s="18" t="str">
        <f>IFERROR(INDEX('Member Evaluation'!$CZ$5:$CZ$121, MATCH(LARGE('Member Evaluation'!$DE$5:$DE$121, ROW(A228)), 'Member Evaluation'!$DE$5:$DE$121, 0)), "")</f>
        <v/>
      </c>
      <c r="E229" s="18" t="str">
        <f>IFERROR(INDEX('Member Evaluation'!$DB$5:$DB$121,MATCH(LARGE('Member Evaluation'!$DE$5:$DE$121,228),'Member Evaluation'!$DE$5:$DE$121,0)),"")</f>
        <v/>
      </c>
    </row>
    <row r="230" spans="1:5" ht="15.75" customHeight="1" x14ac:dyDescent="0.25">
      <c r="A230" s="18">
        <v>229</v>
      </c>
      <c r="B230" s="18" t="str">
        <f>IFERROR(INDEX('Member Evaluation'!$A$5:$A$121,MATCH(LARGE('Member Evaluation'!$DE$5:$DE$121,229),'Member Evaluation'!$DE$5:$DE$121,0)),"")</f>
        <v/>
      </c>
      <c r="C230" s="18" t="str">
        <f t="shared" si="3"/>
        <v/>
      </c>
      <c r="D230" s="18" t="str">
        <f>IFERROR(INDEX('Member Evaluation'!$CZ$5:$CZ$121, MATCH(LARGE('Member Evaluation'!$DE$5:$DE$121, ROW(A229)), 'Member Evaluation'!$DE$5:$DE$121, 0)), "")</f>
        <v/>
      </c>
      <c r="E230" s="18" t="str">
        <f>IFERROR(INDEX('Member Evaluation'!$DB$5:$DB$121,MATCH(LARGE('Member Evaluation'!$DE$5:$DE$121,229),'Member Evaluation'!$DE$5:$DE$121,0)),"")</f>
        <v/>
      </c>
    </row>
    <row r="231" spans="1:5" ht="15.75" customHeight="1" x14ac:dyDescent="0.25">
      <c r="A231" s="18">
        <v>230</v>
      </c>
      <c r="B231" s="18" t="str">
        <f>IFERROR(INDEX('Member Evaluation'!$A$5:$A$121,MATCH(LARGE('Member Evaluation'!$DE$5:$DE$121,230),'Member Evaluation'!$DE$5:$DE$121,0)),"")</f>
        <v/>
      </c>
      <c r="C231" s="18" t="str">
        <f t="shared" si="3"/>
        <v/>
      </c>
      <c r="D231" s="18" t="str">
        <f>IFERROR(INDEX('Member Evaluation'!$CZ$5:$CZ$121, MATCH(LARGE('Member Evaluation'!$DE$5:$DE$121, ROW(A230)), 'Member Evaluation'!$DE$5:$DE$121, 0)), "")</f>
        <v/>
      </c>
      <c r="E231" s="18" t="str">
        <f>IFERROR(INDEX('Member Evaluation'!$DB$5:$DB$121,MATCH(LARGE('Member Evaluation'!$DE$5:$DE$121,230),'Member Evaluation'!$DE$5:$DE$121,0)),"")</f>
        <v/>
      </c>
    </row>
    <row r="232" spans="1:5" ht="15.75" customHeight="1" x14ac:dyDescent="0.25">
      <c r="A232" s="18">
        <v>231</v>
      </c>
      <c r="B232" s="18" t="str">
        <f>IFERROR(INDEX('Member Evaluation'!$A$5:$A$121,MATCH(LARGE('Member Evaluation'!$DE$5:$DE$121,231),'Member Evaluation'!$DE$5:$DE$121,0)),"")</f>
        <v/>
      </c>
      <c r="C232" s="18" t="str">
        <f t="shared" si="3"/>
        <v/>
      </c>
      <c r="D232" s="18" t="str">
        <f>IFERROR(INDEX('Member Evaluation'!$CZ$5:$CZ$121, MATCH(LARGE('Member Evaluation'!$DE$5:$DE$121, ROW(A231)), 'Member Evaluation'!$DE$5:$DE$121, 0)), "")</f>
        <v/>
      </c>
      <c r="E232" s="18" t="str">
        <f>IFERROR(INDEX('Member Evaluation'!$DB$5:$DB$121,MATCH(LARGE('Member Evaluation'!$DE$5:$DE$121,231),'Member Evaluation'!$DE$5:$DE$121,0)),"")</f>
        <v/>
      </c>
    </row>
    <row r="233" spans="1:5" ht="15.75" customHeight="1" x14ac:dyDescent="0.25">
      <c r="A233" s="18">
        <v>232</v>
      </c>
      <c r="B233" s="18" t="str">
        <f>IFERROR(INDEX('Member Evaluation'!$A$5:$A$121,MATCH(LARGE('Member Evaluation'!$DE$5:$DE$121,232),'Member Evaluation'!$DE$5:$DE$121,0)),"")</f>
        <v/>
      </c>
      <c r="C233" s="18" t="str">
        <f t="shared" si="3"/>
        <v/>
      </c>
      <c r="D233" s="18" t="str">
        <f>IFERROR(INDEX('Member Evaluation'!$CZ$5:$CZ$121, MATCH(LARGE('Member Evaluation'!$DE$5:$DE$121, ROW(A232)), 'Member Evaluation'!$DE$5:$DE$121, 0)), "")</f>
        <v/>
      </c>
      <c r="E233" s="18" t="str">
        <f>IFERROR(INDEX('Member Evaluation'!$DB$5:$DB$121,MATCH(LARGE('Member Evaluation'!$DE$5:$DE$121,232),'Member Evaluation'!$DE$5:$DE$121,0)),"")</f>
        <v/>
      </c>
    </row>
    <row r="234" spans="1:5" ht="15.75" customHeight="1" x14ac:dyDescent="0.25">
      <c r="A234" s="18">
        <v>233</v>
      </c>
      <c r="B234" s="18" t="str">
        <f>IFERROR(INDEX('Member Evaluation'!$A$5:$A$121,MATCH(LARGE('Member Evaluation'!$DE$5:$DE$121,233),'Member Evaluation'!$DE$5:$DE$121,0)),"")</f>
        <v/>
      </c>
      <c r="C234" s="18" t="str">
        <f t="shared" si="3"/>
        <v/>
      </c>
      <c r="D234" s="18" t="str">
        <f>IFERROR(INDEX('Member Evaluation'!$CZ$5:$CZ$121, MATCH(LARGE('Member Evaluation'!$DE$5:$DE$121, ROW(A233)), 'Member Evaluation'!$DE$5:$DE$121, 0)), "")</f>
        <v/>
      </c>
      <c r="E234" s="18" t="str">
        <f>IFERROR(INDEX('Member Evaluation'!$DB$5:$DB$121,MATCH(LARGE('Member Evaluation'!$DE$5:$DE$121,233),'Member Evaluation'!$DE$5:$DE$121,0)),"")</f>
        <v/>
      </c>
    </row>
    <row r="235" spans="1:5" ht="15.75" customHeight="1" x14ac:dyDescent="0.25">
      <c r="A235" s="18">
        <v>234</v>
      </c>
      <c r="B235" s="18" t="str">
        <f>IFERROR(INDEX('Member Evaluation'!$A$5:$A$121,MATCH(LARGE('Member Evaluation'!$DE$5:$DE$121,234),'Member Evaluation'!$DE$5:$DE$121,0)),"")</f>
        <v/>
      </c>
      <c r="C235" s="18" t="str">
        <f t="shared" si="3"/>
        <v/>
      </c>
      <c r="D235" s="18" t="str">
        <f>IFERROR(INDEX('Member Evaluation'!$CZ$5:$CZ$121, MATCH(LARGE('Member Evaluation'!$DE$5:$DE$121, ROW(A234)), 'Member Evaluation'!$DE$5:$DE$121, 0)), "")</f>
        <v/>
      </c>
      <c r="E235" s="18" t="str">
        <f>IFERROR(INDEX('Member Evaluation'!$DB$5:$DB$121,MATCH(LARGE('Member Evaluation'!$DE$5:$DE$121,234),'Member Evaluation'!$DE$5:$DE$121,0)),"")</f>
        <v/>
      </c>
    </row>
    <row r="236" spans="1:5" ht="15.75" customHeight="1" x14ac:dyDescent="0.25">
      <c r="A236" s="18">
        <v>235</v>
      </c>
      <c r="B236" s="18" t="str">
        <f>IFERROR(INDEX('Member Evaluation'!$A$5:$A$121,MATCH(LARGE('Member Evaluation'!$DE$5:$DE$121,235),'Member Evaluation'!$DE$5:$DE$121,0)),"")</f>
        <v/>
      </c>
      <c r="C236" s="18" t="str">
        <f t="shared" si="3"/>
        <v/>
      </c>
      <c r="D236" s="18" t="str">
        <f>IFERROR(INDEX('Member Evaluation'!$CZ$5:$CZ$121, MATCH(LARGE('Member Evaluation'!$DE$5:$DE$121, ROW(A235)), 'Member Evaluation'!$DE$5:$DE$121, 0)), "")</f>
        <v/>
      </c>
      <c r="E236" s="18" t="str">
        <f>IFERROR(INDEX('Member Evaluation'!$DB$5:$DB$121,MATCH(LARGE('Member Evaluation'!$DE$5:$DE$121,235),'Member Evaluation'!$DE$5:$DE$121,0)),"")</f>
        <v/>
      </c>
    </row>
    <row r="237" spans="1:5" ht="15.75" customHeight="1" x14ac:dyDescent="0.25">
      <c r="A237" s="18">
        <v>236</v>
      </c>
      <c r="B237" s="18" t="str">
        <f>IFERROR(INDEX('Member Evaluation'!$A$5:$A$121,MATCH(LARGE('Member Evaluation'!$DE$5:$DE$121,236),'Member Evaluation'!$DE$5:$DE$121,0)),"")</f>
        <v/>
      </c>
      <c r="C237" s="18" t="str">
        <f t="shared" si="3"/>
        <v/>
      </c>
      <c r="D237" s="18" t="str">
        <f>IFERROR(INDEX('Member Evaluation'!$CZ$5:$CZ$121, MATCH(LARGE('Member Evaluation'!$DE$5:$DE$121, ROW(A236)), 'Member Evaluation'!$DE$5:$DE$121, 0)), "")</f>
        <v/>
      </c>
      <c r="E237" s="18" t="str">
        <f>IFERROR(INDEX('Member Evaluation'!$DB$5:$DB$121,MATCH(LARGE('Member Evaluation'!$DE$5:$DE$121,236),'Member Evaluation'!$DE$5:$DE$121,0)),"")</f>
        <v/>
      </c>
    </row>
    <row r="238" spans="1:5" ht="15.75" customHeight="1" x14ac:dyDescent="0.25">
      <c r="A238" s="18">
        <v>237</v>
      </c>
      <c r="B238" s="18" t="str">
        <f>IFERROR(INDEX('Member Evaluation'!$A$5:$A$121,MATCH(LARGE('Member Evaluation'!$DE$5:$DE$121,237),'Member Evaluation'!$DE$5:$DE$121,0)),"")</f>
        <v/>
      </c>
      <c r="C238" s="18" t="str">
        <f t="shared" si="3"/>
        <v/>
      </c>
      <c r="D238" s="18" t="str">
        <f>IFERROR(INDEX('Member Evaluation'!$CZ$5:$CZ$121, MATCH(LARGE('Member Evaluation'!$DE$5:$DE$121, ROW(A237)), 'Member Evaluation'!$DE$5:$DE$121, 0)), "")</f>
        <v/>
      </c>
      <c r="E238" s="18" t="str">
        <f>IFERROR(INDEX('Member Evaluation'!$DB$5:$DB$121,MATCH(LARGE('Member Evaluation'!$DE$5:$DE$121,237),'Member Evaluation'!$DE$5:$DE$121,0)),"")</f>
        <v/>
      </c>
    </row>
    <row r="239" spans="1:5" ht="15.75" customHeight="1" x14ac:dyDescent="0.25">
      <c r="A239" s="18">
        <v>238</v>
      </c>
      <c r="B239" s="18" t="str">
        <f>IFERROR(INDEX('Member Evaluation'!$A$5:$A$121,MATCH(LARGE('Member Evaluation'!$DE$5:$DE$121,238),'Member Evaluation'!$DE$5:$DE$121,0)),"")</f>
        <v/>
      </c>
      <c r="C239" s="18" t="str">
        <f t="shared" si="3"/>
        <v/>
      </c>
      <c r="D239" s="18" t="str">
        <f>IFERROR(INDEX('Member Evaluation'!$CZ$5:$CZ$121, MATCH(LARGE('Member Evaluation'!$DE$5:$DE$121, ROW(A238)), 'Member Evaluation'!$DE$5:$DE$121, 0)), "")</f>
        <v/>
      </c>
      <c r="E239" s="18" t="str">
        <f>IFERROR(INDEX('Member Evaluation'!$DB$5:$DB$121,MATCH(LARGE('Member Evaluation'!$DE$5:$DE$121,238),'Member Evaluation'!$DE$5:$DE$121,0)),"")</f>
        <v/>
      </c>
    </row>
    <row r="240" spans="1:5" ht="15.75" customHeight="1" x14ac:dyDescent="0.25">
      <c r="A240" s="18">
        <v>239</v>
      </c>
      <c r="B240" s="18" t="str">
        <f>IFERROR(INDEX('Member Evaluation'!$A$5:$A$121,MATCH(LARGE('Member Evaluation'!$DE$5:$DE$121,239),'Member Evaluation'!$DE$5:$DE$121,0)),"")</f>
        <v/>
      </c>
      <c r="C240" s="18" t="str">
        <f t="shared" si="3"/>
        <v/>
      </c>
      <c r="D240" s="18" t="str">
        <f>IFERROR(INDEX('Member Evaluation'!$CZ$5:$CZ$121, MATCH(LARGE('Member Evaluation'!$DE$5:$DE$121, ROW(A239)), 'Member Evaluation'!$DE$5:$DE$121, 0)), "")</f>
        <v/>
      </c>
      <c r="E240" s="18" t="str">
        <f>IFERROR(INDEX('Member Evaluation'!$DB$5:$DB$121,MATCH(LARGE('Member Evaluation'!$DE$5:$DE$121,239),'Member Evaluation'!$DE$5:$DE$121,0)),"")</f>
        <v/>
      </c>
    </row>
    <row r="241" spans="1:5" ht="15.75" customHeight="1" x14ac:dyDescent="0.25">
      <c r="A241" s="18">
        <v>240</v>
      </c>
      <c r="B241" s="18" t="str">
        <f>IFERROR(INDEX('Member Evaluation'!$A$5:$A$121,MATCH(LARGE('Member Evaluation'!$DE$5:$DE$121,240),'Member Evaluation'!$DE$5:$DE$121,0)),"")</f>
        <v/>
      </c>
      <c r="C241" s="18" t="str">
        <f t="shared" si="3"/>
        <v/>
      </c>
      <c r="D241" s="18" t="str">
        <f>IFERROR(INDEX('Member Evaluation'!$CZ$5:$CZ$121, MATCH(LARGE('Member Evaluation'!$DE$5:$DE$121, ROW(A240)), 'Member Evaluation'!$DE$5:$DE$121, 0)), "")</f>
        <v/>
      </c>
      <c r="E241" s="18" t="str">
        <f>IFERROR(INDEX('Member Evaluation'!$DB$5:$DB$121,MATCH(LARGE('Member Evaluation'!$DE$5:$DE$121,240),'Member Evaluation'!$DE$5:$DE$121,0)),"")</f>
        <v/>
      </c>
    </row>
    <row r="242" spans="1:5" ht="15.75" customHeight="1" x14ac:dyDescent="0.25">
      <c r="A242" s="18">
        <v>241</v>
      </c>
      <c r="B242" s="18" t="str">
        <f>IFERROR(INDEX('Member Evaluation'!$A$5:$A$121,MATCH(LARGE('Member Evaluation'!$DE$5:$DE$121,241),'Member Evaluation'!$DE$5:$DE$121,0)),"")</f>
        <v/>
      </c>
      <c r="C242" s="18" t="str">
        <f t="shared" si="3"/>
        <v/>
      </c>
      <c r="D242" s="18" t="str">
        <f>IFERROR(INDEX('Member Evaluation'!$CZ$5:$CZ$121, MATCH(LARGE('Member Evaluation'!$DE$5:$DE$121, ROW(A241)), 'Member Evaluation'!$DE$5:$DE$121, 0)), "")</f>
        <v/>
      </c>
      <c r="E242" s="18" t="str">
        <f>IFERROR(INDEX('Member Evaluation'!$DB$5:$DB$121,MATCH(LARGE('Member Evaluation'!$DE$5:$DE$121,241),'Member Evaluation'!$DE$5:$DE$121,0)),"")</f>
        <v/>
      </c>
    </row>
    <row r="243" spans="1:5" ht="15.75" customHeight="1" x14ac:dyDescent="0.25">
      <c r="A243" s="18">
        <v>242</v>
      </c>
      <c r="B243" s="18" t="str">
        <f>IFERROR(INDEX('Member Evaluation'!$A$5:$A$121,MATCH(LARGE('Member Evaluation'!$DE$5:$DE$121,242),'Member Evaluation'!$DE$5:$DE$121,0)),"")</f>
        <v/>
      </c>
      <c r="C243" s="18" t="str">
        <f t="shared" si="3"/>
        <v/>
      </c>
      <c r="D243" s="18" t="str">
        <f>IFERROR(INDEX('Member Evaluation'!$CZ$5:$CZ$121, MATCH(LARGE('Member Evaluation'!$DE$5:$DE$121, ROW(A242)), 'Member Evaluation'!$DE$5:$DE$121, 0)), "")</f>
        <v/>
      </c>
      <c r="E243" s="18" t="str">
        <f>IFERROR(INDEX('Member Evaluation'!$DB$5:$DB$121,MATCH(LARGE('Member Evaluation'!$DE$5:$DE$121,242),'Member Evaluation'!$DE$5:$DE$121,0)),"")</f>
        <v/>
      </c>
    </row>
    <row r="244" spans="1:5" ht="15.75" customHeight="1" x14ac:dyDescent="0.25">
      <c r="A244" s="18">
        <v>243</v>
      </c>
      <c r="B244" s="18" t="str">
        <f>IFERROR(INDEX('Member Evaluation'!$A$5:$A$121,MATCH(LARGE('Member Evaluation'!$DE$5:$DE$121,243),'Member Evaluation'!$DE$5:$DE$121,0)),"")</f>
        <v/>
      </c>
      <c r="C244" s="18" t="str">
        <f t="shared" si="3"/>
        <v/>
      </c>
      <c r="D244" s="18" t="str">
        <f>IFERROR(INDEX('Member Evaluation'!$CZ$5:$CZ$121, MATCH(LARGE('Member Evaluation'!$DE$5:$DE$121, ROW(A243)), 'Member Evaluation'!$DE$5:$DE$121, 0)), "")</f>
        <v/>
      </c>
      <c r="E244" s="18" t="str">
        <f>IFERROR(INDEX('Member Evaluation'!$DB$5:$DB$121,MATCH(LARGE('Member Evaluation'!$DE$5:$DE$121,243),'Member Evaluation'!$DE$5:$DE$121,0)),"")</f>
        <v/>
      </c>
    </row>
    <row r="245" spans="1:5" ht="15.75" customHeight="1" x14ac:dyDescent="0.25">
      <c r="A245" s="18">
        <v>244</v>
      </c>
      <c r="B245" s="18" t="str">
        <f>IFERROR(INDEX('Member Evaluation'!$A$5:$A$121,MATCH(LARGE('Member Evaluation'!$DE$5:$DE$121,244),'Member Evaluation'!$DE$5:$DE$121,0)),"")</f>
        <v/>
      </c>
      <c r="C245" s="18" t="str">
        <f t="shared" si="3"/>
        <v/>
      </c>
      <c r="D245" s="18" t="str">
        <f>IFERROR(INDEX('Member Evaluation'!$CZ$5:$CZ$121, MATCH(LARGE('Member Evaluation'!$DE$5:$DE$121, ROW(A244)), 'Member Evaluation'!$DE$5:$DE$121, 0)), "")</f>
        <v/>
      </c>
      <c r="E245" s="18" t="str">
        <f>IFERROR(INDEX('Member Evaluation'!$DB$5:$DB$121,MATCH(LARGE('Member Evaluation'!$DE$5:$DE$121,244),'Member Evaluation'!$DE$5:$DE$121,0)),"")</f>
        <v/>
      </c>
    </row>
    <row r="246" spans="1:5" ht="15.75" customHeight="1" x14ac:dyDescent="0.25">
      <c r="A246" s="18">
        <v>245</v>
      </c>
      <c r="B246" s="18" t="str">
        <f>IFERROR(INDEX('Member Evaluation'!$A$5:$A$121,MATCH(LARGE('Member Evaluation'!$DE$5:$DE$121,245),'Member Evaluation'!$DE$5:$DE$121,0)),"")</f>
        <v/>
      </c>
      <c r="C246" s="18" t="str">
        <f t="shared" si="3"/>
        <v/>
      </c>
      <c r="D246" s="18" t="str">
        <f>IFERROR(INDEX('Member Evaluation'!$CZ$5:$CZ$121, MATCH(LARGE('Member Evaluation'!$DE$5:$DE$121, ROW(A245)), 'Member Evaluation'!$DE$5:$DE$121, 0)), "")</f>
        <v/>
      </c>
      <c r="E246" s="18" t="str">
        <f>IFERROR(INDEX('Member Evaluation'!$DB$5:$DB$121,MATCH(LARGE('Member Evaluation'!$DE$5:$DE$121,245),'Member Evaluation'!$DE$5:$DE$121,0)),"")</f>
        <v/>
      </c>
    </row>
    <row r="247" spans="1:5" ht="15.75" customHeight="1" x14ac:dyDescent="0.25">
      <c r="A247" s="18">
        <v>246</v>
      </c>
      <c r="B247" s="18" t="str">
        <f>IFERROR(INDEX('Member Evaluation'!$A$5:$A$121,MATCH(LARGE('Member Evaluation'!$DE$5:$DE$121,246),'Member Evaluation'!$DE$5:$DE$121,0)),"")</f>
        <v/>
      </c>
      <c r="C247" s="18" t="str">
        <f t="shared" si="3"/>
        <v/>
      </c>
      <c r="D247" s="18" t="str">
        <f>IFERROR(INDEX('Member Evaluation'!$CZ$5:$CZ$121, MATCH(LARGE('Member Evaluation'!$DE$5:$DE$121, ROW(A246)), 'Member Evaluation'!$DE$5:$DE$121, 0)), "")</f>
        <v/>
      </c>
      <c r="E247" s="18" t="str">
        <f>IFERROR(INDEX('Member Evaluation'!$DB$5:$DB$121,MATCH(LARGE('Member Evaluation'!$DE$5:$DE$121,246),'Member Evaluation'!$DE$5:$DE$121,0)),"")</f>
        <v/>
      </c>
    </row>
    <row r="248" spans="1:5" ht="15.75" customHeight="1" x14ac:dyDescent="0.25">
      <c r="A248" s="18">
        <v>247</v>
      </c>
      <c r="B248" s="18" t="str">
        <f>IFERROR(INDEX('Member Evaluation'!$A$5:$A$121,MATCH(LARGE('Member Evaluation'!$DE$5:$DE$121,247),'Member Evaluation'!$DE$5:$DE$121,0)),"")</f>
        <v/>
      </c>
      <c r="C248" s="18" t="str">
        <f t="shared" si="3"/>
        <v/>
      </c>
      <c r="D248" s="18" t="str">
        <f>IFERROR(INDEX('Member Evaluation'!$CZ$5:$CZ$121, MATCH(LARGE('Member Evaluation'!$DE$5:$DE$121, ROW(A247)), 'Member Evaluation'!$DE$5:$DE$121, 0)), "")</f>
        <v/>
      </c>
      <c r="E248" s="18" t="str">
        <f>IFERROR(INDEX('Member Evaluation'!$DB$5:$DB$121,MATCH(LARGE('Member Evaluation'!$DE$5:$DE$121,247),'Member Evaluation'!$DE$5:$DE$121,0)),"")</f>
        <v/>
      </c>
    </row>
    <row r="249" spans="1:5" ht="15.75" customHeight="1" x14ac:dyDescent="0.25">
      <c r="A249" s="18">
        <v>248</v>
      </c>
      <c r="B249" s="18" t="str">
        <f>IFERROR(INDEX('Member Evaluation'!$A$5:$A$121,MATCH(LARGE('Member Evaluation'!$DE$5:$DE$121,248),'Member Evaluation'!$DE$5:$DE$121,0)),"")</f>
        <v/>
      </c>
      <c r="C249" s="18" t="str">
        <f t="shared" si="3"/>
        <v/>
      </c>
      <c r="D249" s="18" t="str">
        <f>IFERROR(INDEX('Member Evaluation'!$CZ$5:$CZ$121, MATCH(LARGE('Member Evaluation'!$DE$5:$DE$121, ROW(A248)), 'Member Evaluation'!$DE$5:$DE$121, 0)), "")</f>
        <v/>
      </c>
      <c r="E249" s="18" t="str">
        <f>IFERROR(INDEX('Member Evaluation'!$DB$5:$DB$121,MATCH(LARGE('Member Evaluation'!$DE$5:$DE$121,248),'Member Evaluation'!$DE$5:$DE$121,0)),"")</f>
        <v/>
      </c>
    </row>
    <row r="250" spans="1:5" ht="15.75" customHeight="1" x14ac:dyDescent="0.25">
      <c r="A250" s="18">
        <v>249</v>
      </c>
      <c r="B250" s="18" t="str">
        <f>IFERROR(INDEX('Member Evaluation'!$A$5:$A$121,MATCH(LARGE('Member Evaluation'!$DE$5:$DE$121,249),'Member Evaluation'!$DE$5:$DE$121,0)),"")</f>
        <v/>
      </c>
      <c r="C250" s="18" t="str">
        <f t="shared" si="3"/>
        <v/>
      </c>
      <c r="D250" s="18" t="str">
        <f>IFERROR(INDEX('Member Evaluation'!$CZ$5:$CZ$121, MATCH(LARGE('Member Evaluation'!$DE$5:$DE$121, ROW(A249)), 'Member Evaluation'!$DE$5:$DE$121, 0)), "")</f>
        <v/>
      </c>
      <c r="E250" s="18" t="str">
        <f>IFERROR(INDEX('Member Evaluation'!$DB$5:$DB$121,MATCH(LARGE('Member Evaluation'!$DE$5:$DE$121,249),'Member Evaluation'!$DE$5:$DE$121,0)),"")</f>
        <v/>
      </c>
    </row>
    <row r="251" spans="1:5" ht="15.75" customHeight="1" x14ac:dyDescent="0.25">
      <c r="A251" s="18">
        <v>250</v>
      </c>
      <c r="B251" s="18" t="str">
        <f>IFERROR(INDEX('Member Evaluation'!$A$5:$A$121,MATCH(LARGE('Member Evaluation'!$DE$5:$DE$121,250),'Member Evaluation'!$DE$5:$DE$121,0)),"")</f>
        <v/>
      </c>
      <c r="C251" s="18" t="str">
        <f t="shared" si="3"/>
        <v/>
      </c>
      <c r="D251" s="18" t="str">
        <f>IFERROR(INDEX('Member Evaluation'!$CZ$5:$CZ$121, MATCH(LARGE('Member Evaluation'!$DE$5:$DE$121, ROW(A250)), 'Member Evaluation'!$DE$5:$DE$121, 0)), "")</f>
        <v/>
      </c>
      <c r="E251" s="18" t="str">
        <f>IFERROR(INDEX('Member Evaluation'!$DB$5:$DB$121,MATCH(LARGE('Member Evaluation'!$DE$5:$DE$121,250),'Member Evaluation'!$DE$5:$DE$121,0)),"")</f>
        <v/>
      </c>
    </row>
    <row r="252" spans="1:5" ht="15.75" customHeight="1" x14ac:dyDescent="0.25">
      <c r="A252" s="18">
        <v>251</v>
      </c>
      <c r="B252" s="18" t="str">
        <f>IFERROR(INDEX('Member Evaluation'!$A$5:$A$121,MATCH(LARGE('Member Evaluation'!$DE$5:$DE$121,251),'Member Evaluation'!$DE$5:$DE$121,0)),"")</f>
        <v/>
      </c>
      <c r="C252" s="18" t="str">
        <f t="shared" si="3"/>
        <v/>
      </c>
      <c r="D252" s="18" t="str">
        <f>IFERROR(INDEX('Member Evaluation'!$CZ$5:$CZ$121, MATCH(LARGE('Member Evaluation'!$DE$5:$DE$121, ROW(A251)), 'Member Evaluation'!$DE$5:$DE$121, 0)), "")</f>
        <v/>
      </c>
      <c r="E252" s="18" t="str">
        <f>IFERROR(INDEX('Member Evaluation'!$DB$5:$DB$121,MATCH(LARGE('Member Evaluation'!$DE$5:$DE$121,251),'Member Evaluation'!$DE$5:$DE$121,0)),"")</f>
        <v/>
      </c>
    </row>
    <row r="253" spans="1:5" ht="15.75" customHeight="1" x14ac:dyDescent="0.25">
      <c r="A253" s="18">
        <v>252</v>
      </c>
      <c r="B253" s="18" t="str">
        <f>IFERROR(INDEX('Member Evaluation'!$A$5:$A$121,MATCH(LARGE('Member Evaluation'!$DE$5:$DE$121,252),'Member Evaluation'!$DE$5:$DE$121,0)),"")</f>
        <v/>
      </c>
      <c r="C253" s="18" t="str">
        <f t="shared" si="3"/>
        <v/>
      </c>
      <c r="D253" s="18" t="str">
        <f>IFERROR(INDEX('Member Evaluation'!$CZ$5:$CZ$121, MATCH(LARGE('Member Evaluation'!$DE$5:$DE$121, ROW(A252)), 'Member Evaluation'!$DE$5:$DE$121, 0)), "")</f>
        <v/>
      </c>
      <c r="E253" s="18" t="str">
        <f>IFERROR(INDEX('Member Evaluation'!$DB$5:$DB$121,MATCH(LARGE('Member Evaluation'!$DE$5:$DE$121,252),'Member Evaluation'!$DE$5:$DE$121,0)),"")</f>
        <v/>
      </c>
    </row>
    <row r="254" spans="1:5" ht="15.75" customHeight="1" x14ac:dyDescent="0.25">
      <c r="A254" s="18">
        <v>253</v>
      </c>
      <c r="B254" s="18" t="str">
        <f>IFERROR(INDEX('Member Evaluation'!$A$5:$A$121,MATCH(LARGE('Member Evaluation'!$DE$5:$DE$121,253),'Member Evaluation'!$DE$5:$DE$121,0)),"")</f>
        <v/>
      </c>
      <c r="C254" s="18" t="str">
        <f t="shared" si="3"/>
        <v/>
      </c>
      <c r="D254" s="18" t="str">
        <f>IFERROR(INDEX('Member Evaluation'!$CZ$5:$CZ$121, MATCH(LARGE('Member Evaluation'!$DE$5:$DE$121, ROW(A253)), 'Member Evaluation'!$DE$5:$DE$121, 0)), "")</f>
        <v/>
      </c>
      <c r="E254" s="18" t="str">
        <f>IFERROR(INDEX('Member Evaluation'!$DB$5:$DB$121,MATCH(LARGE('Member Evaluation'!$DE$5:$DE$121,253),'Member Evaluation'!$DE$5:$DE$121,0)),"")</f>
        <v/>
      </c>
    </row>
    <row r="255" spans="1:5" ht="15.75" customHeight="1" x14ac:dyDescent="0.25">
      <c r="A255" s="18">
        <v>254</v>
      </c>
      <c r="B255" s="18" t="str">
        <f>IFERROR(INDEX('Member Evaluation'!$A$5:$A$121,MATCH(LARGE('Member Evaluation'!$DE$5:$DE$121,254),'Member Evaluation'!$DE$5:$DE$121,0)),"")</f>
        <v/>
      </c>
      <c r="C255" s="18" t="str">
        <f t="shared" si="3"/>
        <v/>
      </c>
      <c r="D255" s="18" t="str">
        <f>IFERROR(INDEX('Member Evaluation'!$CZ$5:$CZ$121, MATCH(LARGE('Member Evaluation'!$DE$5:$DE$121, ROW(A254)), 'Member Evaluation'!$DE$5:$DE$121, 0)), "")</f>
        <v/>
      </c>
      <c r="E255" s="18" t="str">
        <f>IFERROR(INDEX('Member Evaluation'!$DB$5:$DB$121,MATCH(LARGE('Member Evaluation'!$DE$5:$DE$121,254),'Member Evaluation'!$DE$5:$DE$121,0)),"")</f>
        <v/>
      </c>
    </row>
    <row r="256" spans="1:5" ht="15.75" customHeight="1" x14ac:dyDescent="0.25">
      <c r="A256" s="18">
        <v>255</v>
      </c>
      <c r="B256" s="18" t="str">
        <f>IFERROR(INDEX('Member Evaluation'!$A$5:$A$121,MATCH(LARGE('Member Evaluation'!$DE$5:$DE$121,255),'Member Evaluation'!$DE$5:$DE$121,0)),"")</f>
        <v/>
      </c>
      <c r="C256" s="18" t="str">
        <f t="shared" si="3"/>
        <v/>
      </c>
      <c r="D256" s="18" t="str">
        <f>IFERROR(INDEX('Member Evaluation'!$CZ$5:$CZ$121, MATCH(LARGE('Member Evaluation'!$DE$5:$DE$121, ROW(A255)), 'Member Evaluation'!$DE$5:$DE$121, 0)), "")</f>
        <v/>
      </c>
      <c r="E256" s="18" t="str">
        <f>IFERROR(INDEX('Member Evaluation'!$DB$5:$DB$121,MATCH(LARGE('Member Evaluation'!$DE$5:$DE$121,255),'Member Evaluation'!$DE$5:$DE$121,0)),"")</f>
        <v/>
      </c>
    </row>
    <row r="257" spans="1:5" ht="15.75" customHeight="1" x14ac:dyDescent="0.25">
      <c r="A257" s="18">
        <v>256</v>
      </c>
      <c r="B257" s="18" t="str">
        <f>IFERROR(INDEX('Member Evaluation'!$A$5:$A$121,MATCH(LARGE('Member Evaluation'!$DE$5:$DE$121,256),'Member Evaluation'!$DE$5:$DE$121,0)),"")</f>
        <v/>
      </c>
      <c r="C257" s="18" t="str">
        <f t="shared" si="3"/>
        <v/>
      </c>
      <c r="D257" s="18" t="str">
        <f>IFERROR(INDEX('Member Evaluation'!$CZ$5:$CZ$121, MATCH(LARGE('Member Evaluation'!$DE$5:$DE$121, ROW(A256)), 'Member Evaluation'!$DE$5:$DE$121, 0)), "")</f>
        <v/>
      </c>
      <c r="E257" s="18" t="str">
        <f>IFERROR(INDEX('Member Evaluation'!$DB$5:$DB$121,MATCH(LARGE('Member Evaluation'!$DE$5:$DE$121,256),'Member Evaluation'!$DE$5:$DE$121,0)),"")</f>
        <v/>
      </c>
    </row>
    <row r="258" spans="1:5" ht="15.75" customHeight="1" x14ac:dyDescent="0.25">
      <c r="A258" s="18">
        <v>257</v>
      </c>
      <c r="B258" s="18" t="str">
        <f>IFERROR(INDEX('Member Evaluation'!$A$5:$A$121,MATCH(LARGE('Member Evaluation'!$DE$5:$DE$121,257),'Member Evaluation'!$DE$5:$DE$121,0)),"")</f>
        <v/>
      </c>
      <c r="C258" s="18" t="str">
        <f t="shared" ref="C258:C301" si="4">IF(B258="","","OR")</f>
        <v/>
      </c>
      <c r="D258" s="18" t="str">
        <f>IFERROR(INDEX('Member Evaluation'!$CZ$5:$CZ$121, MATCH(LARGE('Member Evaluation'!$DE$5:$DE$121, ROW(A257)), 'Member Evaluation'!$DE$5:$DE$121, 0)), "")</f>
        <v/>
      </c>
      <c r="E258" s="18" t="str">
        <f>IFERROR(INDEX('Member Evaluation'!$DB$5:$DB$121,MATCH(LARGE('Member Evaluation'!$DE$5:$DE$121,257),'Member Evaluation'!$DE$5:$DE$121,0)),"")</f>
        <v/>
      </c>
    </row>
    <row r="259" spans="1:5" ht="15.75" customHeight="1" x14ac:dyDescent="0.25">
      <c r="A259" s="18">
        <v>258</v>
      </c>
      <c r="B259" s="18" t="str">
        <f>IFERROR(INDEX('Member Evaluation'!$A$5:$A$121,MATCH(LARGE('Member Evaluation'!$DE$5:$DE$121,258),'Member Evaluation'!$DE$5:$DE$121,0)),"")</f>
        <v/>
      </c>
      <c r="C259" s="18" t="str">
        <f t="shared" si="4"/>
        <v/>
      </c>
      <c r="D259" s="18" t="str">
        <f>IFERROR(INDEX('Member Evaluation'!$CZ$5:$CZ$121, MATCH(LARGE('Member Evaluation'!$DE$5:$DE$121, ROW(A258)), 'Member Evaluation'!$DE$5:$DE$121, 0)), "")</f>
        <v/>
      </c>
      <c r="E259" s="18" t="str">
        <f>IFERROR(INDEX('Member Evaluation'!$DB$5:$DB$121,MATCH(LARGE('Member Evaluation'!$DE$5:$DE$121,258),'Member Evaluation'!$DE$5:$DE$121,0)),"")</f>
        <v/>
      </c>
    </row>
    <row r="260" spans="1:5" ht="15.75" customHeight="1" x14ac:dyDescent="0.25">
      <c r="A260" s="18">
        <v>259</v>
      </c>
      <c r="B260" s="18" t="str">
        <f>IFERROR(INDEX('Member Evaluation'!$A$5:$A$121,MATCH(LARGE('Member Evaluation'!$DE$5:$DE$121,259),'Member Evaluation'!$DE$5:$DE$121,0)),"")</f>
        <v/>
      </c>
      <c r="C260" s="18" t="str">
        <f t="shared" si="4"/>
        <v/>
      </c>
      <c r="D260" s="18" t="str">
        <f>IFERROR(INDEX('Member Evaluation'!$CZ$5:$CZ$121, MATCH(LARGE('Member Evaluation'!$DE$5:$DE$121, ROW(A259)), 'Member Evaluation'!$DE$5:$DE$121, 0)), "")</f>
        <v/>
      </c>
      <c r="E260" s="18" t="str">
        <f>IFERROR(INDEX('Member Evaluation'!$DB$5:$DB$121,MATCH(LARGE('Member Evaluation'!$DE$5:$DE$121,259),'Member Evaluation'!$DE$5:$DE$121,0)),"")</f>
        <v/>
      </c>
    </row>
    <row r="261" spans="1:5" ht="15.75" customHeight="1" x14ac:dyDescent="0.25">
      <c r="A261" s="18">
        <v>260</v>
      </c>
      <c r="B261" s="18" t="str">
        <f>IFERROR(INDEX('Member Evaluation'!$A$5:$A$121,MATCH(LARGE('Member Evaluation'!$DE$5:$DE$121,260),'Member Evaluation'!$DE$5:$DE$121,0)),"")</f>
        <v/>
      </c>
      <c r="C261" s="18" t="str">
        <f t="shared" si="4"/>
        <v/>
      </c>
      <c r="D261" s="18" t="str">
        <f>IFERROR(INDEX('Member Evaluation'!$CZ$5:$CZ$121, MATCH(LARGE('Member Evaluation'!$DE$5:$DE$121, ROW(A260)), 'Member Evaluation'!$DE$5:$DE$121, 0)), "")</f>
        <v/>
      </c>
      <c r="E261" s="18" t="str">
        <f>IFERROR(INDEX('Member Evaluation'!$DB$5:$DB$121,MATCH(LARGE('Member Evaluation'!$DE$5:$DE$121,260),'Member Evaluation'!$DE$5:$DE$121,0)),"")</f>
        <v/>
      </c>
    </row>
    <row r="262" spans="1:5" ht="15.75" customHeight="1" x14ac:dyDescent="0.25">
      <c r="A262" s="18">
        <v>261</v>
      </c>
      <c r="B262" s="18" t="str">
        <f>IFERROR(INDEX('Member Evaluation'!$A$5:$A$121,MATCH(LARGE('Member Evaluation'!$DE$5:$DE$121,261),'Member Evaluation'!$DE$5:$DE$121,0)),"")</f>
        <v/>
      </c>
      <c r="C262" s="18" t="str">
        <f t="shared" si="4"/>
        <v/>
      </c>
      <c r="D262" s="18" t="str">
        <f>IFERROR(INDEX('Member Evaluation'!$CZ$5:$CZ$121, MATCH(LARGE('Member Evaluation'!$DE$5:$DE$121, ROW(A261)), 'Member Evaluation'!$DE$5:$DE$121, 0)), "")</f>
        <v/>
      </c>
      <c r="E262" s="18" t="str">
        <f>IFERROR(INDEX('Member Evaluation'!$DB$5:$DB$121,MATCH(LARGE('Member Evaluation'!$DE$5:$DE$121,261),'Member Evaluation'!$DE$5:$DE$121,0)),"")</f>
        <v/>
      </c>
    </row>
    <row r="263" spans="1:5" ht="15.75" customHeight="1" x14ac:dyDescent="0.25">
      <c r="A263" s="18">
        <v>262</v>
      </c>
      <c r="B263" s="18" t="str">
        <f>IFERROR(INDEX('Member Evaluation'!$A$5:$A$121,MATCH(LARGE('Member Evaluation'!$DE$5:$DE$121,262),'Member Evaluation'!$DE$5:$DE$121,0)),"")</f>
        <v/>
      </c>
      <c r="C263" s="18" t="str">
        <f t="shared" si="4"/>
        <v/>
      </c>
      <c r="D263" s="18" t="str">
        <f>IFERROR(INDEX('Member Evaluation'!$CZ$5:$CZ$121, MATCH(LARGE('Member Evaluation'!$DE$5:$DE$121, ROW(A262)), 'Member Evaluation'!$DE$5:$DE$121, 0)), "")</f>
        <v/>
      </c>
      <c r="E263" s="18" t="str">
        <f>IFERROR(INDEX('Member Evaluation'!$DB$5:$DB$121,MATCH(LARGE('Member Evaluation'!$DE$5:$DE$121,262),'Member Evaluation'!$DE$5:$DE$121,0)),"")</f>
        <v/>
      </c>
    </row>
    <row r="264" spans="1:5" ht="15.75" customHeight="1" x14ac:dyDescent="0.25">
      <c r="A264" s="18">
        <v>263</v>
      </c>
      <c r="B264" s="18" t="str">
        <f>IFERROR(INDEX('Member Evaluation'!$A$5:$A$121,MATCH(LARGE('Member Evaluation'!$DE$5:$DE$121,263),'Member Evaluation'!$DE$5:$DE$121,0)),"")</f>
        <v/>
      </c>
      <c r="C264" s="18" t="str">
        <f t="shared" si="4"/>
        <v/>
      </c>
      <c r="D264" s="18" t="str">
        <f>IFERROR(INDEX('Member Evaluation'!$CZ$5:$CZ$121, MATCH(LARGE('Member Evaluation'!$DE$5:$DE$121, ROW(A263)), 'Member Evaluation'!$DE$5:$DE$121, 0)), "")</f>
        <v/>
      </c>
      <c r="E264" s="18" t="str">
        <f>IFERROR(INDEX('Member Evaluation'!$DB$5:$DB$121,MATCH(LARGE('Member Evaluation'!$DE$5:$DE$121,263),'Member Evaluation'!$DE$5:$DE$121,0)),"")</f>
        <v/>
      </c>
    </row>
    <row r="265" spans="1:5" ht="15.75" customHeight="1" x14ac:dyDescent="0.25">
      <c r="A265" s="18">
        <v>264</v>
      </c>
      <c r="B265" s="18" t="str">
        <f>IFERROR(INDEX('Member Evaluation'!$A$5:$A$121,MATCH(LARGE('Member Evaluation'!$DE$5:$DE$121,264),'Member Evaluation'!$DE$5:$DE$121,0)),"")</f>
        <v/>
      </c>
      <c r="C265" s="18" t="str">
        <f t="shared" si="4"/>
        <v/>
      </c>
      <c r="D265" s="18" t="str">
        <f>IFERROR(INDEX('Member Evaluation'!$CZ$5:$CZ$121, MATCH(LARGE('Member Evaluation'!$DE$5:$DE$121, ROW(A264)), 'Member Evaluation'!$DE$5:$DE$121, 0)), "")</f>
        <v/>
      </c>
      <c r="E265" s="18" t="str">
        <f>IFERROR(INDEX('Member Evaluation'!$DB$5:$DB$121,MATCH(LARGE('Member Evaluation'!$DE$5:$DE$121,264),'Member Evaluation'!$DE$5:$DE$121,0)),"")</f>
        <v/>
      </c>
    </row>
    <row r="266" spans="1:5" ht="15.75" customHeight="1" x14ac:dyDescent="0.25">
      <c r="A266" s="18">
        <v>265</v>
      </c>
      <c r="B266" s="18" t="str">
        <f>IFERROR(INDEX('Member Evaluation'!$A$5:$A$121,MATCH(LARGE('Member Evaluation'!$DE$5:$DE$121,265),'Member Evaluation'!$DE$5:$DE$121,0)),"")</f>
        <v/>
      </c>
      <c r="C266" s="18" t="str">
        <f t="shared" si="4"/>
        <v/>
      </c>
      <c r="D266" s="18" t="str">
        <f>IFERROR(INDEX('Member Evaluation'!$CZ$5:$CZ$121, MATCH(LARGE('Member Evaluation'!$DE$5:$DE$121, ROW(A265)), 'Member Evaluation'!$DE$5:$DE$121, 0)), "")</f>
        <v/>
      </c>
      <c r="E266" s="18" t="str">
        <f>IFERROR(INDEX('Member Evaluation'!$DB$5:$DB$121,MATCH(LARGE('Member Evaluation'!$DE$5:$DE$121,265),'Member Evaluation'!$DE$5:$DE$121,0)),"")</f>
        <v/>
      </c>
    </row>
    <row r="267" spans="1:5" ht="15.75" customHeight="1" x14ac:dyDescent="0.25">
      <c r="A267" s="18">
        <v>266</v>
      </c>
      <c r="B267" s="18" t="str">
        <f>IFERROR(INDEX('Member Evaluation'!$A$5:$A$121,MATCH(LARGE('Member Evaluation'!$DE$5:$DE$121,266),'Member Evaluation'!$DE$5:$DE$121,0)),"")</f>
        <v/>
      </c>
      <c r="C267" s="18" t="str">
        <f t="shared" si="4"/>
        <v/>
      </c>
      <c r="D267" s="18" t="str">
        <f>IFERROR(INDEX('Member Evaluation'!$CZ$5:$CZ$121, MATCH(LARGE('Member Evaluation'!$DE$5:$DE$121, ROW(A266)), 'Member Evaluation'!$DE$5:$DE$121, 0)), "")</f>
        <v/>
      </c>
      <c r="E267" s="18" t="str">
        <f>IFERROR(INDEX('Member Evaluation'!$DB$5:$DB$121,MATCH(LARGE('Member Evaluation'!$DE$5:$DE$121,266),'Member Evaluation'!$DE$5:$DE$121,0)),"")</f>
        <v/>
      </c>
    </row>
    <row r="268" spans="1:5" ht="15.75" customHeight="1" x14ac:dyDescent="0.25">
      <c r="A268" s="18">
        <v>267</v>
      </c>
      <c r="B268" s="18" t="str">
        <f>IFERROR(INDEX('Member Evaluation'!$A$5:$A$121,MATCH(LARGE('Member Evaluation'!$DE$5:$DE$121,267),'Member Evaluation'!$DE$5:$DE$121,0)),"")</f>
        <v/>
      </c>
      <c r="C268" s="18" t="str">
        <f t="shared" si="4"/>
        <v/>
      </c>
      <c r="D268" s="18" t="str">
        <f>IFERROR(INDEX('Member Evaluation'!$CZ$5:$CZ$121, MATCH(LARGE('Member Evaluation'!$DE$5:$DE$121, ROW(A267)), 'Member Evaluation'!$DE$5:$DE$121, 0)), "")</f>
        <v/>
      </c>
      <c r="E268" s="18" t="str">
        <f>IFERROR(INDEX('Member Evaluation'!$DB$5:$DB$121,MATCH(LARGE('Member Evaluation'!$DE$5:$DE$121,267),'Member Evaluation'!$DE$5:$DE$121,0)),"")</f>
        <v/>
      </c>
    </row>
    <row r="269" spans="1:5" ht="15.75" customHeight="1" x14ac:dyDescent="0.25">
      <c r="A269" s="18">
        <v>268</v>
      </c>
      <c r="B269" s="18" t="str">
        <f>IFERROR(INDEX('Member Evaluation'!$A$5:$A$121,MATCH(LARGE('Member Evaluation'!$DE$5:$DE$121,268),'Member Evaluation'!$DE$5:$DE$121,0)),"")</f>
        <v/>
      </c>
      <c r="C269" s="18" t="str">
        <f t="shared" si="4"/>
        <v/>
      </c>
      <c r="D269" s="18" t="str">
        <f>IFERROR(INDEX('Member Evaluation'!$CZ$5:$CZ$121, MATCH(LARGE('Member Evaluation'!$DE$5:$DE$121, ROW(A268)), 'Member Evaluation'!$DE$5:$DE$121, 0)), "")</f>
        <v/>
      </c>
      <c r="E269" s="18" t="str">
        <f>IFERROR(INDEX('Member Evaluation'!$DB$5:$DB$121,MATCH(LARGE('Member Evaluation'!$DE$5:$DE$121,268),'Member Evaluation'!$DE$5:$DE$121,0)),"")</f>
        <v/>
      </c>
    </row>
    <row r="270" spans="1:5" ht="15.75" customHeight="1" x14ac:dyDescent="0.25">
      <c r="A270" s="18">
        <v>269</v>
      </c>
      <c r="B270" s="18" t="str">
        <f>IFERROR(INDEX('Member Evaluation'!$A$5:$A$121,MATCH(LARGE('Member Evaluation'!$DE$5:$DE$121,269),'Member Evaluation'!$DE$5:$DE$121,0)),"")</f>
        <v/>
      </c>
      <c r="C270" s="18" t="str">
        <f t="shared" si="4"/>
        <v/>
      </c>
      <c r="D270" s="18" t="str">
        <f>IFERROR(INDEX('Member Evaluation'!$CZ$5:$CZ$121, MATCH(LARGE('Member Evaluation'!$DE$5:$DE$121, ROW(A269)), 'Member Evaluation'!$DE$5:$DE$121, 0)), "")</f>
        <v/>
      </c>
      <c r="E270" s="18" t="str">
        <f>IFERROR(INDEX('Member Evaluation'!$DB$5:$DB$121,MATCH(LARGE('Member Evaluation'!$DE$5:$DE$121,269),'Member Evaluation'!$DE$5:$DE$121,0)),"")</f>
        <v/>
      </c>
    </row>
    <row r="271" spans="1:5" ht="15.75" customHeight="1" x14ac:dyDescent="0.25">
      <c r="A271" s="18">
        <v>270</v>
      </c>
      <c r="B271" s="18" t="str">
        <f>IFERROR(INDEX('Member Evaluation'!$A$5:$A$121,MATCH(LARGE('Member Evaluation'!$DE$5:$DE$121,270),'Member Evaluation'!$DE$5:$DE$121,0)),"")</f>
        <v/>
      </c>
      <c r="C271" s="18" t="str">
        <f t="shared" si="4"/>
        <v/>
      </c>
      <c r="D271" s="18" t="str">
        <f>IFERROR(INDEX('Member Evaluation'!$CZ$5:$CZ$121, MATCH(LARGE('Member Evaluation'!$DE$5:$DE$121, ROW(A270)), 'Member Evaluation'!$DE$5:$DE$121, 0)), "")</f>
        <v/>
      </c>
      <c r="E271" s="18" t="str">
        <f>IFERROR(INDEX('Member Evaluation'!$DB$5:$DB$121,MATCH(LARGE('Member Evaluation'!$DE$5:$DE$121,270),'Member Evaluation'!$DE$5:$DE$121,0)),"")</f>
        <v/>
      </c>
    </row>
    <row r="272" spans="1:5" ht="15.75" customHeight="1" x14ac:dyDescent="0.25">
      <c r="A272" s="18">
        <v>271</v>
      </c>
      <c r="B272" s="18" t="str">
        <f>IFERROR(INDEX('Member Evaluation'!$A$5:$A$121,MATCH(LARGE('Member Evaluation'!$DE$5:$DE$121,271),'Member Evaluation'!$DE$5:$DE$121,0)),"")</f>
        <v/>
      </c>
      <c r="C272" s="18" t="str">
        <f t="shared" si="4"/>
        <v/>
      </c>
      <c r="D272" s="18" t="str">
        <f>IFERROR(INDEX('Member Evaluation'!$CZ$5:$CZ$121, MATCH(LARGE('Member Evaluation'!$DE$5:$DE$121, ROW(A271)), 'Member Evaluation'!$DE$5:$DE$121, 0)), "")</f>
        <v/>
      </c>
      <c r="E272" s="18" t="str">
        <f>IFERROR(INDEX('Member Evaluation'!$DB$5:$DB$121,MATCH(LARGE('Member Evaluation'!$DE$5:$DE$121,271),'Member Evaluation'!$DE$5:$DE$121,0)),"")</f>
        <v/>
      </c>
    </row>
    <row r="273" spans="1:5" ht="15.75" customHeight="1" x14ac:dyDescent="0.25">
      <c r="A273" s="18">
        <v>272</v>
      </c>
      <c r="B273" s="18" t="str">
        <f>IFERROR(INDEX('Member Evaluation'!$A$5:$A$121,MATCH(LARGE('Member Evaluation'!$DE$5:$DE$121,272),'Member Evaluation'!$DE$5:$DE$121,0)),"")</f>
        <v/>
      </c>
      <c r="C273" s="18" t="str">
        <f t="shared" si="4"/>
        <v/>
      </c>
      <c r="D273" s="18" t="str">
        <f>IFERROR(INDEX('Member Evaluation'!$CZ$5:$CZ$121, MATCH(LARGE('Member Evaluation'!$DE$5:$DE$121, ROW(A272)), 'Member Evaluation'!$DE$5:$DE$121, 0)), "")</f>
        <v/>
      </c>
      <c r="E273" s="18" t="str">
        <f>IFERROR(INDEX('Member Evaluation'!$DB$5:$DB$121,MATCH(LARGE('Member Evaluation'!$DE$5:$DE$121,272),'Member Evaluation'!$DE$5:$DE$121,0)),"")</f>
        <v/>
      </c>
    </row>
    <row r="274" spans="1:5" ht="15.75" customHeight="1" x14ac:dyDescent="0.25">
      <c r="A274" s="18">
        <v>273</v>
      </c>
      <c r="B274" s="18" t="str">
        <f>IFERROR(INDEX('Member Evaluation'!$A$5:$A$121,MATCH(LARGE('Member Evaluation'!$DE$5:$DE$121,273),'Member Evaluation'!$DE$5:$DE$121,0)),"")</f>
        <v/>
      </c>
      <c r="C274" s="18" t="str">
        <f t="shared" si="4"/>
        <v/>
      </c>
      <c r="D274" s="18" t="str">
        <f>IFERROR(INDEX('Member Evaluation'!$CZ$5:$CZ$121, MATCH(LARGE('Member Evaluation'!$DE$5:$DE$121, ROW(A273)), 'Member Evaluation'!$DE$5:$DE$121, 0)), "")</f>
        <v/>
      </c>
      <c r="E274" s="18" t="str">
        <f>IFERROR(INDEX('Member Evaluation'!$DB$5:$DB$121,MATCH(LARGE('Member Evaluation'!$DE$5:$DE$121,273),'Member Evaluation'!$DE$5:$DE$121,0)),"")</f>
        <v/>
      </c>
    </row>
    <row r="275" spans="1:5" ht="15.75" customHeight="1" x14ac:dyDescent="0.25">
      <c r="A275" s="18">
        <v>274</v>
      </c>
      <c r="B275" s="18" t="str">
        <f>IFERROR(INDEX('Member Evaluation'!$A$5:$A$121,MATCH(LARGE('Member Evaluation'!$DE$5:$DE$121,274),'Member Evaluation'!$DE$5:$DE$121,0)),"")</f>
        <v/>
      </c>
      <c r="C275" s="18" t="str">
        <f t="shared" si="4"/>
        <v/>
      </c>
      <c r="D275" s="18" t="str">
        <f>IFERROR(INDEX('Member Evaluation'!$CZ$5:$CZ$121, MATCH(LARGE('Member Evaluation'!$DE$5:$DE$121, ROW(A274)), 'Member Evaluation'!$DE$5:$DE$121, 0)), "")</f>
        <v/>
      </c>
      <c r="E275" s="18" t="str">
        <f>IFERROR(INDEX('Member Evaluation'!$DB$5:$DB$121,MATCH(LARGE('Member Evaluation'!$DE$5:$DE$121,274),'Member Evaluation'!$DE$5:$DE$121,0)),"")</f>
        <v/>
      </c>
    </row>
    <row r="276" spans="1:5" ht="15.75" customHeight="1" x14ac:dyDescent="0.25">
      <c r="A276" s="18">
        <v>275</v>
      </c>
      <c r="B276" s="18" t="str">
        <f>IFERROR(INDEX('Member Evaluation'!$A$5:$A$121,MATCH(LARGE('Member Evaluation'!$DE$5:$DE$121,275),'Member Evaluation'!$DE$5:$DE$121,0)),"")</f>
        <v/>
      </c>
      <c r="C276" s="18" t="str">
        <f t="shared" si="4"/>
        <v/>
      </c>
      <c r="D276" s="18" t="str">
        <f>IFERROR(INDEX('Member Evaluation'!$CZ$5:$CZ$121, MATCH(LARGE('Member Evaluation'!$DE$5:$DE$121, ROW(A275)), 'Member Evaluation'!$DE$5:$DE$121, 0)), "")</f>
        <v/>
      </c>
      <c r="E276" s="18" t="str">
        <f>IFERROR(INDEX('Member Evaluation'!$DB$5:$DB$121,MATCH(LARGE('Member Evaluation'!$DE$5:$DE$121,275),'Member Evaluation'!$DE$5:$DE$121,0)),"")</f>
        <v/>
      </c>
    </row>
    <row r="277" spans="1:5" ht="15.75" customHeight="1" x14ac:dyDescent="0.25">
      <c r="A277" s="18">
        <v>276</v>
      </c>
      <c r="B277" s="18" t="str">
        <f>IFERROR(INDEX('Member Evaluation'!$A$5:$A$121,MATCH(LARGE('Member Evaluation'!$DE$5:$DE$121,276),'Member Evaluation'!$DE$5:$DE$121,0)),"")</f>
        <v/>
      </c>
      <c r="C277" s="18" t="str">
        <f t="shared" si="4"/>
        <v/>
      </c>
      <c r="D277" s="18" t="str">
        <f>IFERROR(INDEX('Member Evaluation'!$CZ$5:$CZ$121, MATCH(LARGE('Member Evaluation'!$DE$5:$DE$121, ROW(A276)), 'Member Evaluation'!$DE$5:$DE$121, 0)), "")</f>
        <v/>
      </c>
      <c r="E277" s="18" t="str">
        <f>IFERROR(INDEX('Member Evaluation'!$DB$5:$DB$121,MATCH(LARGE('Member Evaluation'!$DE$5:$DE$121,276),'Member Evaluation'!$DE$5:$DE$121,0)),"")</f>
        <v/>
      </c>
    </row>
    <row r="278" spans="1:5" ht="15.75" customHeight="1" x14ac:dyDescent="0.25">
      <c r="A278" s="18">
        <v>277</v>
      </c>
      <c r="B278" s="18" t="str">
        <f>IFERROR(INDEX('Member Evaluation'!$A$5:$A$121,MATCH(LARGE('Member Evaluation'!$DE$5:$DE$121,277),'Member Evaluation'!$DE$5:$DE$121,0)),"")</f>
        <v/>
      </c>
      <c r="C278" s="18" t="str">
        <f t="shared" si="4"/>
        <v/>
      </c>
      <c r="D278" s="18" t="str">
        <f>IFERROR(INDEX('Member Evaluation'!$CZ$5:$CZ$121, MATCH(LARGE('Member Evaluation'!$DE$5:$DE$121, ROW(A277)), 'Member Evaluation'!$DE$5:$DE$121, 0)), "")</f>
        <v/>
      </c>
      <c r="E278" s="18" t="str">
        <f>IFERROR(INDEX('Member Evaluation'!$DB$5:$DB$121,MATCH(LARGE('Member Evaluation'!$DE$5:$DE$121,277),'Member Evaluation'!$DE$5:$DE$121,0)),"")</f>
        <v/>
      </c>
    </row>
    <row r="279" spans="1:5" ht="15.75" customHeight="1" x14ac:dyDescent="0.25">
      <c r="A279" s="18">
        <v>278</v>
      </c>
      <c r="B279" s="18" t="str">
        <f>IFERROR(INDEX('Member Evaluation'!$A$5:$A$121,MATCH(LARGE('Member Evaluation'!$DE$5:$DE$121,278),'Member Evaluation'!$DE$5:$DE$121,0)),"")</f>
        <v/>
      </c>
      <c r="C279" s="18" t="str">
        <f t="shared" si="4"/>
        <v/>
      </c>
      <c r="D279" s="18" t="str">
        <f>IFERROR(INDEX('Member Evaluation'!$CZ$5:$CZ$121, MATCH(LARGE('Member Evaluation'!$DE$5:$DE$121, ROW(A278)), 'Member Evaluation'!$DE$5:$DE$121, 0)), "")</f>
        <v/>
      </c>
      <c r="E279" s="18" t="str">
        <f>IFERROR(INDEX('Member Evaluation'!$DB$5:$DB$121,MATCH(LARGE('Member Evaluation'!$DE$5:$DE$121,278),'Member Evaluation'!$DE$5:$DE$121,0)),"")</f>
        <v/>
      </c>
    </row>
    <row r="280" spans="1:5" ht="15.75" customHeight="1" x14ac:dyDescent="0.25">
      <c r="A280" s="18">
        <v>279</v>
      </c>
      <c r="B280" s="18" t="str">
        <f>IFERROR(INDEX('Member Evaluation'!$A$5:$A$121,MATCH(LARGE('Member Evaluation'!$DE$5:$DE$121,279),'Member Evaluation'!$DE$5:$DE$121,0)),"")</f>
        <v/>
      </c>
      <c r="C280" s="18" t="str">
        <f t="shared" si="4"/>
        <v/>
      </c>
      <c r="D280" s="18" t="str">
        <f>IFERROR(INDEX('Member Evaluation'!$CZ$5:$CZ$121, MATCH(LARGE('Member Evaluation'!$DE$5:$DE$121, ROW(A279)), 'Member Evaluation'!$DE$5:$DE$121, 0)), "")</f>
        <v/>
      </c>
      <c r="E280" s="18" t="str">
        <f>IFERROR(INDEX('Member Evaluation'!$DB$5:$DB$121,MATCH(LARGE('Member Evaluation'!$DE$5:$DE$121,279),'Member Evaluation'!$DE$5:$DE$121,0)),"")</f>
        <v/>
      </c>
    </row>
    <row r="281" spans="1:5" ht="15.75" customHeight="1" x14ac:dyDescent="0.25">
      <c r="A281" s="18">
        <v>280</v>
      </c>
      <c r="B281" s="18" t="str">
        <f>IFERROR(INDEX('Member Evaluation'!$A$5:$A$121,MATCH(LARGE('Member Evaluation'!$DE$5:$DE$121,280),'Member Evaluation'!$DE$5:$DE$121,0)),"")</f>
        <v/>
      </c>
      <c r="C281" s="18" t="str">
        <f t="shared" si="4"/>
        <v/>
      </c>
      <c r="D281" s="18" t="str">
        <f>IFERROR(INDEX('Member Evaluation'!$CZ$5:$CZ$121, MATCH(LARGE('Member Evaluation'!$DE$5:$DE$121, ROW(A280)), 'Member Evaluation'!$DE$5:$DE$121, 0)), "")</f>
        <v/>
      </c>
      <c r="E281" s="18" t="str">
        <f>IFERROR(INDEX('Member Evaluation'!$DB$5:$DB$121,MATCH(LARGE('Member Evaluation'!$DE$5:$DE$121,280),'Member Evaluation'!$DE$5:$DE$121,0)),"")</f>
        <v/>
      </c>
    </row>
    <row r="282" spans="1:5" ht="15.75" customHeight="1" x14ac:dyDescent="0.25">
      <c r="A282" s="18">
        <v>281</v>
      </c>
      <c r="B282" s="18" t="str">
        <f>IFERROR(INDEX('Member Evaluation'!$A$5:$A$121,MATCH(LARGE('Member Evaluation'!$DE$5:$DE$121,281),'Member Evaluation'!$DE$5:$DE$121,0)),"")</f>
        <v/>
      </c>
      <c r="C282" s="18" t="str">
        <f t="shared" si="4"/>
        <v/>
      </c>
      <c r="D282" s="18" t="str">
        <f>IFERROR(INDEX('Member Evaluation'!$CZ$5:$CZ$121, MATCH(LARGE('Member Evaluation'!$DE$5:$DE$121, ROW(A281)), 'Member Evaluation'!$DE$5:$DE$121, 0)), "")</f>
        <v/>
      </c>
      <c r="E282" s="18" t="str">
        <f>IFERROR(INDEX('Member Evaluation'!$DB$5:$DB$121,MATCH(LARGE('Member Evaluation'!$DE$5:$DE$121,281),'Member Evaluation'!$DE$5:$DE$121,0)),"")</f>
        <v/>
      </c>
    </row>
    <row r="283" spans="1:5" ht="15.75" customHeight="1" x14ac:dyDescent="0.25">
      <c r="A283" s="18">
        <v>282</v>
      </c>
      <c r="B283" s="18" t="str">
        <f>IFERROR(INDEX('Member Evaluation'!$A$5:$A$121,MATCH(LARGE('Member Evaluation'!$DE$5:$DE$121,282),'Member Evaluation'!$DE$5:$DE$121,0)),"")</f>
        <v/>
      </c>
      <c r="C283" s="18" t="str">
        <f t="shared" si="4"/>
        <v/>
      </c>
      <c r="D283" s="18" t="str">
        <f>IFERROR(INDEX('Member Evaluation'!$CZ$5:$CZ$121, MATCH(LARGE('Member Evaluation'!$DE$5:$DE$121, ROW(A282)), 'Member Evaluation'!$DE$5:$DE$121, 0)), "")</f>
        <v/>
      </c>
      <c r="E283" s="18" t="str">
        <f>IFERROR(INDEX('Member Evaluation'!$DB$5:$DB$121,MATCH(LARGE('Member Evaluation'!$DE$5:$DE$121,282),'Member Evaluation'!$DE$5:$DE$121,0)),"")</f>
        <v/>
      </c>
    </row>
    <row r="284" spans="1:5" ht="15.75" customHeight="1" x14ac:dyDescent="0.25">
      <c r="A284" s="18">
        <v>283</v>
      </c>
      <c r="B284" s="18" t="str">
        <f>IFERROR(INDEX('Member Evaluation'!$A$5:$A$121,MATCH(LARGE('Member Evaluation'!$DE$5:$DE$121,283),'Member Evaluation'!$DE$5:$DE$121,0)),"")</f>
        <v/>
      </c>
      <c r="C284" s="18" t="str">
        <f t="shared" si="4"/>
        <v/>
      </c>
      <c r="D284" s="18" t="str">
        <f>IFERROR(INDEX('Member Evaluation'!$CZ$5:$CZ$121, MATCH(LARGE('Member Evaluation'!$DE$5:$DE$121, ROW(A283)), 'Member Evaluation'!$DE$5:$DE$121, 0)), "")</f>
        <v/>
      </c>
      <c r="E284" s="18" t="str">
        <f>IFERROR(INDEX('Member Evaluation'!$DB$5:$DB$121,MATCH(LARGE('Member Evaluation'!$DE$5:$DE$121,283),'Member Evaluation'!$DE$5:$DE$121,0)),"")</f>
        <v/>
      </c>
    </row>
    <row r="285" spans="1:5" ht="15.75" customHeight="1" x14ac:dyDescent="0.25">
      <c r="A285" s="18">
        <v>284</v>
      </c>
      <c r="B285" s="18" t="str">
        <f>IFERROR(INDEX('Member Evaluation'!$A$5:$A$121,MATCH(LARGE('Member Evaluation'!$DE$5:$DE$121,284),'Member Evaluation'!$DE$5:$DE$121,0)),"")</f>
        <v/>
      </c>
      <c r="C285" s="18" t="str">
        <f t="shared" si="4"/>
        <v/>
      </c>
      <c r="D285" s="18" t="str">
        <f>IFERROR(INDEX('Member Evaluation'!$CZ$5:$CZ$121, MATCH(LARGE('Member Evaluation'!$DE$5:$DE$121, ROW(A284)), 'Member Evaluation'!$DE$5:$DE$121, 0)), "")</f>
        <v/>
      </c>
      <c r="E285" s="18" t="str">
        <f>IFERROR(INDEX('Member Evaluation'!$DB$5:$DB$121,MATCH(LARGE('Member Evaluation'!$DE$5:$DE$121,284),'Member Evaluation'!$DE$5:$DE$121,0)),"")</f>
        <v/>
      </c>
    </row>
    <row r="286" spans="1:5" ht="15.75" customHeight="1" x14ac:dyDescent="0.25">
      <c r="A286" s="18">
        <v>285</v>
      </c>
      <c r="B286" s="18" t="str">
        <f>IFERROR(INDEX('Member Evaluation'!$A$5:$A$121,MATCH(LARGE('Member Evaluation'!$DE$5:$DE$121,285),'Member Evaluation'!$DE$5:$DE$121,0)),"")</f>
        <v/>
      </c>
      <c r="C286" s="18" t="str">
        <f t="shared" si="4"/>
        <v/>
      </c>
      <c r="D286" s="18" t="str">
        <f>IFERROR(INDEX('Member Evaluation'!$CZ$5:$CZ$121, MATCH(LARGE('Member Evaluation'!$DE$5:$DE$121, ROW(A285)), 'Member Evaluation'!$DE$5:$DE$121, 0)), "")</f>
        <v/>
      </c>
      <c r="E286" s="18" t="str">
        <f>IFERROR(INDEX('Member Evaluation'!$DB$5:$DB$121,MATCH(LARGE('Member Evaluation'!$DE$5:$DE$121,285),'Member Evaluation'!$DE$5:$DE$121,0)),"")</f>
        <v/>
      </c>
    </row>
    <row r="287" spans="1:5" ht="15.75" customHeight="1" x14ac:dyDescent="0.25">
      <c r="A287" s="18">
        <v>286</v>
      </c>
      <c r="B287" s="18" t="str">
        <f>IFERROR(INDEX('Member Evaluation'!$A$5:$A$121,MATCH(LARGE('Member Evaluation'!$DE$5:$DE$121,286),'Member Evaluation'!$DE$5:$DE$121,0)),"")</f>
        <v/>
      </c>
      <c r="C287" s="18" t="str">
        <f t="shared" si="4"/>
        <v/>
      </c>
      <c r="D287" s="18" t="str">
        <f>IFERROR(INDEX('Member Evaluation'!$CZ$5:$CZ$121, MATCH(LARGE('Member Evaluation'!$DE$5:$DE$121, ROW(A286)), 'Member Evaluation'!$DE$5:$DE$121, 0)), "")</f>
        <v/>
      </c>
      <c r="E287" s="18" t="str">
        <f>IFERROR(INDEX('Member Evaluation'!$DB$5:$DB$121,MATCH(LARGE('Member Evaluation'!$DE$5:$DE$121,286),'Member Evaluation'!$DE$5:$DE$121,0)),"")</f>
        <v/>
      </c>
    </row>
    <row r="288" spans="1:5" ht="15.75" customHeight="1" x14ac:dyDescent="0.25">
      <c r="A288" s="18">
        <v>287</v>
      </c>
      <c r="B288" s="18" t="str">
        <f>IFERROR(INDEX('Member Evaluation'!$A$5:$A$121,MATCH(LARGE('Member Evaluation'!$DE$5:$DE$121,287),'Member Evaluation'!$DE$5:$DE$121,0)),"")</f>
        <v/>
      </c>
      <c r="C288" s="18" t="str">
        <f t="shared" si="4"/>
        <v/>
      </c>
      <c r="D288" s="18" t="str">
        <f>IFERROR(INDEX('Member Evaluation'!$CZ$5:$CZ$121, MATCH(LARGE('Member Evaluation'!$DE$5:$DE$121, ROW(A287)), 'Member Evaluation'!$DE$5:$DE$121, 0)), "")</f>
        <v/>
      </c>
      <c r="E288" s="18" t="str">
        <f>IFERROR(INDEX('Member Evaluation'!$DB$5:$DB$121,MATCH(LARGE('Member Evaluation'!$DE$5:$DE$121,287),'Member Evaluation'!$DE$5:$DE$121,0)),"")</f>
        <v/>
      </c>
    </row>
    <row r="289" spans="1:5" ht="15.75" customHeight="1" x14ac:dyDescent="0.25">
      <c r="A289" s="18">
        <v>288</v>
      </c>
      <c r="B289" s="18" t="str">
        <f>IFERROR(INDEX('Member Evaluation'!$A$5:$A$121,MATCH(LARGE('Member Evaluation'!$DE$5:$DE$121,288),'Member Evaluation'!$DE$5:$DE$121,0)),"")</f>
        <v/>
      </c>
      <c r="C289" s="18" t="str">
        <f t="shared" si="4"/>
        <v/>
      </c>
      <c r="D289" s="18" t="str">
        <f>IFERROR(INDEX('Member Evaluation'!$CZ$5:$CZ$121, MATCH(LARGE('Member Evaluation'!$DE$5:$DE$121, ROW(A288)), 'Member Evaluation'!$DE$5:$DE$121, 0)), "")</f>
        <v/>
      </c>
      <c r="E289" s="18" t="str">
        <f>IFERROR(INDEX('Member Evaluation'!$DB$5:$DB$121,MATCH(LARGE('Member Evaluation'!$DE$5:$DE$121,288),'Member Evaluation'!$DE$5:$DE$121,0)),"")</f>
        <v/>
      </c>
    </row>
    <row r="290" spans="1:5" ht="15.75" customHeight="1" x14ac:dyDescent="0.25">
      <c r="A290" s="18">
        <v>289</v>
      </c>
      <c r="B290" s="18" t="str">
        <f>IFERROR(INDEX('Member Evaluation'!$A$5:$A$121,MATCH(LARGE('Member Evaluation'!$DE$5:$DE$121,289),'Member Evaluation'!$DE$5:$DE$121,0)),"")</f>
        <v/>
      </c>
      <c r="C290" s="18" t="str">
        <f t="shared" si="4"/>
        <v/>
      </c>
      <c r="D290" s="18" t="str">
        <f>IFERROR(INDEX('Member Evaluation'!$CZ$5:$CZ$121, MATCH(LARGE('Member Evaluation'!$DE$5:$DE$121, ROW(A289)), 'Member Evaluation'!$DE$5:$DE$121, 0)), "")</f>
        <v/>
      </c>
      <c r="E290" s="18" t="str">
        <f>IFERROR(INDEX('Member Evaluation'!$DB$5:$DB$121,MATCH(LARGE('Member Evaluation'!$DE$5:$DE$121,289),'Member Evaluation'!$DE$5:$DE$121,0)),"")</f>
        <v/>
      </c>
    </row>
    <row r="291" spans="1:5" ht="15.75" customHeight="1" x14ac:dyDescent="0.25">
      <c r="A291" s="18">
        <v>290</v>
      </c>
      <c r="B291" s="18" t="str">
        <f>IFERROR(INDEX('Member Evaluation'!$A$5:$A$121,MATCH(LARGE('Member Evaluation'!$DE$5:$DE$121,290),'Member Evaluation'!$DE$5:$DE$121,0)),"")</f>
        <v/>
      </c>
      <c r="C291" s="18" t="str">
        <f t="shared" si="4"/>
        <v/>
      </c>
      <c r="D291" s="18" t="str">
        <f>IFERROR(INDEX('Member Evaluation'!$CZ$5:$CZ$121, MATCH(LARGE('Member Evaluation'!$DE$5:$DE$121, ROW(A290)), 'Member Evaluation'!$DE$5:$DE$121, 0)), "")</f>
        <v/>
      </c>
      <c r="E291" s="18" t="str">
        <f>IFERROR(INDEX('Member Evaluation'!$DB$5:$DB$121,MATCH(LARGE('Member Evaluation'!$DE$5:$DE$121,290),'Member Evaluation'!$DE$5:$DE$121,0)),"")</f>
        <v/>
      </c>
    </row>
    <row r="292" spans="1:5" ht="15.75" customHeight="1" x14ac:dyDescent="0.25">
      <c r="A292" s="18">
        <v>291</v>
      </c>
      <c r="B292" s="18" t="str">
        <f>IFERROR(INDEX('Member Evaluation'!$A$5:$A$121,MATCH(LARGE('Member Evaluation'!$DE$5:$DE$121,291),'Member Evaluation'!$DE$5:$DE$121,0)),"")</f>
        <v/>
      </c>
      <c r="C292" s="18" t="str">
        <f t="shared" si="4"/>
        <v/>
      </c>
      <c r="D292" s="18" t="str">
        <f>IFERROR(INDEX('Member Evaluation'!$CZ$5:$CZ$121, MATCH(LARGE('Member Evaluation'!$DE$5:$DE$121, ROW(A291)), 'Member Evaluation'!$DE$5:$DE$121, 0)), "")</f>
        <v/>
      </c>
      <c r="E292" s="18" t="str">
        <f>IFERROR(INDEX('Member Evaluation'!$DB$5:$DB$121,MATCH(LARGE('Member Evaluation'!$DE$5:$DE$121,291),'Member Evaluation'!$DE$5:$DE$121,0)),"")</f>
        <v/>
      </c>
    </row>
    <row r="293" spans="1:5" ht="15.75" customHeight="1" x14ac:dyDescent="0.25">
      <c r="A293" s="18">
        <v>292</v>
      </c>
      <c r="B293" s="18" t="str">
        <f>IFERROR(INDEX('Member Evaluation'!$A$5:$A$121,MATCH(LARGE('Member Evaluation'!$DE$5:$DE$121,292),'Member Evaluation'!$DE$5:$DE$121,0)),"")</f>
        <v/>
      </c>
      <c r="C293" s="18" t="str">
        <f t="shared" si="4"/>
        <v/>
      </c>
      <c r="D293" s="18" t="str">
        <f>IFERROR(INDEX('Member Evaluation'!$CZ$5:$CZ$121, MATCH(LARGE('Member Evaluation'!$DE$5:$DE$121, ROW(A292)), 'Member Evaluation'!$DE$5:$DE$121, 0)), "")</f>
        <v/>
      </c>
      <c r="E293" s="18" t="str">
        <f>IFERROR(INDEX('Member Evaluation'!$DB$5:$DB$121,MATCH(LARGE('Member Evaluation'!$DE$5:$DE$121,292),'Member Evaluation'!$DE$5:$DE$121,0)),"")</f>
        <v/>
      </c>
    </row>
    <row r="294" spans="1:5" ht="15.75" customHeight="1" x14ac:dyDescent="0.25">
      <c r="A294" s="18">
        <v>293</v>
      </c>
      <c r="B294" s="18" t="str">
        <f>IFERROR(INDEX('Member Evaluation'!$A$5:$A$121,MATCH(LARGE('Member Evaluation'!$DE$5:$DE$121,293),'Member Evaluation'!$DE$5:$DE$121,0)),"")</f>
        <v/>
      </c>
      <c r="C294" s="18" t="str">
        <f t="shared" si="4"/>
        <v/>
      </c>
      <c r="D294" s="18" t="str">
        <f>IFERROR(INDEX('Member Evaluation'!$CZ$5:$CZ$121, MATCH(LARGE('Member Evaluation'!$DE$5:$DE$121, ROW(A293)), 'Member Evaluation'!$DE$5:$DE$121, 0)), "")</f>
        <v/>
      </c>
      <c r="E294" s="18" t="str">
        <f>IFERROR(INDEX('Member Evaluation'!$DB$5:$DB$121,MATCH(LARGE('Member Evaluation'!$DE$5:$DE$121,293),'Member Evaluation'!$DE$5:$DE$121,0)),"")</f>
        <v/>
      </c>
    </row>
    <row r="295" spans="1:5" ht="15.75" customHeight="1" x14ac:dyDescent="0.25">
      <c r="A295" s="18">
        <v>294</v>
      </c>
      <c r="B295" s="18" t="str">
        <f>IFERROR(INDEX('Member Evaluation'!$A$5:$A$121,MATCH(LARGE('Member Evaluation'!$DE$5:$DE$121,294),'Member Evaluation'!$DE$5:$DE$121,0)),"")</f>
        <v/>
      </c>
      <c r="C295" s="18" t="str">
        <f t="shared" si="4"/>
        <v/>
      </c>
      <c r="D295" s="18" t="str">
        <f>IFERROR(INDEX('Member Evaluation'!$CZ$5:$CZ$121, MATCH(LARGE('Member Evaluation'!$DE$5:$DE$121, ROW(A294)), 'Member Evaluation'!$DE$5:$DE$121, 0)), "")</f>
        <v/>
      </c>
      <c r="E295" s="18" t="str">
        <f>IFERROR(INDEX('Member Evaluation'!$DB$5:$DB$121,MATCH(LARGE('Member Evaluation'!$DE$5:$DE$121,294),'Member Evaluation'!$DE$5:$DE$121,0)),"")</f>
        <v/>
      </c>
    </row>
    <row r="296" spans="1:5" ht="15.75" customHeight="1" x14ac:dyDescent="0.25">
      <c r="A296" s="18">
        <v>295</v>
      </c>
      <c r="B296" s="18" t="str">
        <f>IFERROR(INDEX('Member Evaluation'!$A$5:$A$121,MATCH(LARGE('Member Evaluation'!$DE$5:$DE$121,295),'Member Evaluation'!$DE$5:$DE$121,0)),"")</f>
        <v/>
      </c>
      <c r="C296" s="18" t="str">
        <f t="shared" si="4"/>
        <v/>
      </c>
      <c r="D296" s="18" t="str">
        <f>IFERROR(INDEX('Member Evaluation'!$CZ$5:$CZ$121, MATCH(LARGE('Member Evaluation'!$DE$5:$DE$121, ROW(A295)), 'Member Evaluation'!$DE$5:$DE$121, 0)), "")</f>
        <v/>
      </c>
      <c r="E296" s="18" t="str">
        <f>IFERROR(INDEX('Member Evaluation'!$DB$5:$DB$121,MATCH(LARGE('Member Evaluation'!$DE$5:$DE$121,295),'Member Evaluation'!$DE$5:$DE$121,0)),"")</f>
        <v/>
      </c>
    </row>
    <row r="297" spans="1:5" ht="15.75" customHeight="1" x14ac:dyDescent="0.25">
      <c r="A297" s="18">
        <v>296</v>
      </c>
      <c r="B297" s="18" t="str">
        <f>IFERROR(INDEX('Member Evaluation'!$A$5:$A$121,MATCH(LARGE('Member Evaluation'!$DE$5:$DE$121,296),'Member Evaluation'!$DE$5:$DE$121,0)),"")</f>
        <v/>
      </c>
      <c r="C297" s="18" t="str">
        <f t="shared" si="4"/>
        <v/>
      </c>
      <c r="D297" s="18" t="str">
        <f>IFERROR(INDEX('Member Evaluation'!$CZ$5:$CZ$121, MATCH(LARGE('Member Evaluation'!$DE$5:$DE$121, ROW(A296)), 'Member Evaluation'!$DE$5:$DE$121, 0)), "")</f>
        <v/>
      </c>
      <c r="E297" s="18" t="str">
        <f>IFERROR(INDEX('Member Evaluation'!$DB$5:$DB$121,MATCH(LARGE('Member Evaluation'!$DE$5:$DE$121,296),'Member Evaluation'!$DE$5:$DE$121,0)),"")</f>
        <v/>
      </c>
    </row>
    <row r="298" spans="1:5" ht="15.75" customHeight="1" x14ac:dyDescent="0.25">
      <c r="A298" s="18">
        <v>297</v>
      </c>
      <c r="B298" s="18" t="str">
        <f>IFERROR(INDEX('Member Evaluation'!$A$5:$A$121,MATCH(LARGE('Member Evaluation'!$DE$5:$DE$121,297),'Member Evaluation'!$DE$5:$DE$121,0)),"")</f>
        <v/>
      </c>
      <c r="C298" s="18" t="str">
        <f t="shared" si="4"/>
        <v/>
      </c>
      <c r="D298" s="18" t="str">
        <f>IFERROR(INDEX('Member Evaluation'!$CZ$5:$CZ$121, MATCH(LARGE('Member Evaluation'!$DE$5:$DE$121, ROW(A297)), 'Member Evaluation'!$DE$5:$DE$121, 0)), "")</f>
        <v/>
      </c>
      <c r="E298" s="18" t="str">
        <f>IFERROR(INDEX('Member Evaluation'!$DB$5:$DB$121,MATCH(LARGE('Member Evaluation'!$DE$5:$DE$121,297),'Member Evaluation'!$DE$5:$DE$121,0)),"")</f>
        <v/>
      </c>
    </row>
    <row r="299" spans="1:5" ht="15.75" customHeight="1" x14ac:dyDescent="0.25">
      <c r="A299" s="18">
        <v>298</v>
      </c>
      <c r="B299" s="18" t="str">
        <f>IFERROR(INDEX('Member Evaluation'!$A$5:$A$121,MATCH(LARGE('Member Evaluation'!$DE$5:$DE$121,298),'Member Evaluation'!$DE$5:$DE$121,0)),"")</f>
        <v/>
      </c>
      <c r="C299" s="18" t="str">
        <f t="shared" si="4"/>
        <v/>
      </c>
      <c r="D299" s="18" t="str">
        <f>IFERROR(INDEX('Member Evaluation'!$CZ$5:$CZ$121, MATCH(LARGE('Member Evaluation'!$DE$5:$DE$121, ROW(A298)), 'Member Evaluation'!$DE$5:$DE$121, 0)), "")</f>
        <v/>
      </c>
      <c r="E299" s="18" t="str">
        <f>IFERROR(INDEX('Member Evaluation'!$DB$5:$DB$121,MATCH(LARGE('Member Evaluation'!$DE$5:$DE$121,298),'Member Evaluation'!$DE$5:$DE$121,0)),"")</f>
        <v/>
      </c>
    </row>
    <row r="300" spans="1:5" ht="15.75" customHeight="1" x14ac:dyDescent="0.25">
      <c r="A300" s="18">
        <v>299</v>
      </c>
      <c r="B300" s="18" t="str">
        <f>IFERROR(INDEX('Member Evaluation'!$A$5:$A$121,MATCH(LARGE('Member Evaluation'!$DE$5:$DE$121,299),'Member Evaluation'!$DE$5:$DE$121,0)),"")</f>
        <v/>
      </c>
      <c r="C300" s="18" t="str">
        <f t="shared" si="4"/>
        <v/>
      </c>
      <c r="D300" s="18" t="str">
        <f>IFERROR(INDEX('Member Evaluation'!$CZ$5:$CZ$121, MATCH(LARGE('Member Evaluation'!$DE$5:$DE$121, ROW(A299)), 'Member Evaluation'!$DE$5:$DE$121, 0)), "")</f>
        <v/>
      </c>
      <c r="E300" s="18" t="str">
        <f>IFERROR(INDEX('Member Evaluation'!$DB$5:$DB$121,MATCH(LARGE('Member Evaluation'!$DE$5:$DE$121,299),'Member Evaluation'!$DE$5:$DE$121,0)),"")</f>
        <v/>
      </c>
    </row>
    <row r="301" spans="1:5" ht="15.75" customHeight="1" x14ac:dyDescent="0.25">
      <c r="A301" s="18">
        <v>300</v>
      </c>
      <c r="B301" s="18" t="str">
        <f>IFERROR(INDEX('Member Evaluation'!$A$5:$A$121,MATCH(LARGE('Member Evaluation'!$DE$5:$DE$121,300),'Member Evaluation'!$DE$5:$DE$121,0)),"")</f>
        <v/>
      </c>
      <c r="C301" s="18" t="str">
        <f t="shared" si="4"/>
        <v/>
      </c>
      <c r="D301" s="18" t="str">
        <f>IFERROR(INDEX('Member Evaluation'!$CZ$5:$CZ$121, MATCH(LARGE('Member Evaluation'!$DE$5:$DE$121, ROW(A300)), 'Member Evaluation'!$DE$5:$DE$121, 0)), "")</f>
        <v/>
      </c>
      <c r="E301" s="18" t="str">
        <f>IFERROR(INDEX('Member Evaluation'!$DB$5:$DB$121,MATCH(LARGE('Member Evaluation'!$DE$5:$DE$121,300),'Member Evaluation'!$DE$5:$DE$121,0)),"")</f>
        <v/>
      </c>
    </row>
  </sheetData>
  <sheetProtection algorithmName="SHA-512" hashValue="1H7hqk9XN278uLx+VSoeLhGGpFsPVIC9Et1s+OotdISpFOXjiqplsaY3pAc8bjuVRbw1TSBIIHSqZtqcSgYRww==" saltValue="4MopkmzkI04uFMDMatdLRw==" spinCount="100000" sheet="1" objects="1" scenarios="1"/>
  <conditionalFormatting sqref="A2:E301">
    <cfRule type="expression" dxfId="7" priority="7">
      <formula>AND($A2=1,$B2&lt;&gt;"")</formula>
    </cfRule>
    <cfRule type="expression" dxfId="6" priority="8">
      <formula>AND($A2=2,$B2&lt;&gt;"")</formula>
    </cfRule>
    <cfRule type="expression" dxfId="5" priority="9">
      <formula>AND($A2=3,$B2&lt;&gt;"")</formula>
    </cfRule>
  </conditionalFormatting>
  <conditionalFormatting sqref="E2:E301">
    <cfRule type="cellIs" dxfId="4" priority="2" operator="equal">
      <formula>"A"</formula>
    </cfRule>
    <cfRule type="cellIs" dxfId="3" priority="3" operator="equal">
      <formula>"B"</formula>
    </cfRule>
    <cfRule type="cellIs" dxfId="2" priority="4" operator="equal">
      <formula>"C"</formula>
    </cfRule>
    <cfRule type="cellIs" dxfId="1" priority="5" operator="equal">
      <formula>"D"</formula>
    </cfRule>
    <cfRule type="cellIs" dxfId="0" priority="6" operator="equal">
      <formula>"F"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G2"/>
  <sheetViews>
    <sheetView zoomScaleNormal="100" workbookViewId="0"/>
  </sheetViews>
  <sheetFormatPr defaultColWidth="8.7109375" defaultRowHeight="15" x14ac:dyDescent="0.25"/>
  <sheetData>
    <row r="1" spans="7:7" ht="15" customHeight="1" x14ac:dyDescent="0.25">
      <c r="G1">
        <v>1</v>
      </c>
    </row>
    <row r="2" spans="7:7" ht="15" customHeight="1" x14ac:dyDescent="0.25">
      <c r="G2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 Evaluation</vt:lpstr>
      <vt:lpstr>Announcement Card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youssef belal</cp:lastModifiedBy>
  <cp:revision>0</cp:revision>
  <dcterms:created xsi:type="dcterms:W3CDTF">2026-08-09T03:44:10Z</dcterms:created>
  <dcterms:modified xsi:type="dcterms:W3CDTF">2026-08-23T23:01:57Z</dcterms:modified>
  <dc:language>en-US</dc:language>
</cp:coreProperties>
</file>